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ynex\Desktop\"/>
    </mc:Choice>
  </mc:AlternateContent>
  <xr:revisionPtr revIDLastSave="0" documentId="13_ncr:1_{3494D784-3760-41F0-9683-97D3157A5F6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PMNA Staff" sheetId="2" r:id="rId2"/>
    <sheet name="Weekly Target" sheetId="3" r:id="rId3"/>
    <sheet name="Sheet3" sheetId="4" r:id="rId4"/>
    <sheet name="NOV 2025 PR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5" l="1"/>
  <c r="D10" i="5"/>
  <c r="D3" i="5"/>
  <c r="D4" i="5"/>
  <c r="D5" i="5"/>
  <c r="D6" i="5"/>
  <c r="D7" i="5"/>
  <c r="D8" i="5"/>
  <c r="D9" i="5"/>
  <c r="D2" i="5"/>
  <c r="C3" i="5"/>
  <c r="C4" i="5"/>
  <c r="C5" i="5"/>
  <c r="C6" i="5"/>
  <c r="C7" i="5"/>
  <c r="C8" i="5"/>
  <c r="C9" i="5"/>
  <c r="C2" i="5"/>
  <c r="B10" i="5"/>
  <c r="C10" i="5" s="1"/>
  <c r="D3" i="4"/>
  <c r="D4" i="4"/>
  <c r="D5" i="4"/>
  <c r="D6" i="4"/>
  <c r="D7" i="4"/>
  <c r="D8" i="4"/>
  <c r="D9" i="4"/>
  <c r="D10" i="4"/>
  <c r="D2" i="4"/>
  <c r="C10" i="4"/>
  <c r="B10" i="4"/>
  <c r="G3" i="3"/>
  <c r="G4" i="3"/>
  <c r="G5" i="3"/>
  <c r="G6" i="3"/>
  <c r="G7" i="3"/>
  <c r="G8" i="3"/>
  <c r="G9" i="3"/>
  <c r="G2" i="3"/>
  <c r="F3" i="3"/>
  <c r="F4" i="3"/>
  <c r="F5" i="3"/>
  <c r="F6" i="3"/>
  <c r="F7" i="3"/>
  <c r="F8" i="3"/>
  <c r="F9" i="3"/>
  <c r="F2" i="3"/>
  <c r="D3" i="3"/>
  <c r="D4" i="3"/>
  <c r="D5" i="3"/>
  <c r="D6" i="3"/>
  <c r="D7" i="3"/>
  <c r="D8" i="3"/>
  <c r="D9" i="3"/>
  <c r="D2" i="3"/>
  <c r="E3" i="3"/>
  <c r="E4" i="3"/>
  <c r="E5" i="3"/>
  <c r="E6" i="3"/>
  <c r="E7" i="3"/>
  <c r="E8" i="3"/>
  <c r="E9" i="3"/>
  <c r="E2" i="3"/>
  <c r="C10" i="3"/>
  <c r="E10" i="3" s="1"/>
  <c r="B10" i="3"/>
  <c r="G10" i="3" l="1"/>
  <c r="F10" i="3"/>
  <c r="D10" i="3"/>
  <c r="H8" i="2" l="1"/>
  <c r="I3" i="2"/>
  <c r="I4" i="2"/>
  <c r="I5" i="2"/>
  <c r="I6" i="2"/>
  <c r="I7" i="2"/>
  <c r="I8" i="2"/>
  <c r="I2" i="2"/>
  <c r="G8" i="2"/>
  <c r="F8" i="2"/>
  <c r="E8" i="2"/>
  <c r="D8" i="2"/>
  <c r="B8" i="2"/>
  <c r="C3" i="2" s="1"/>
  <c r="H3" i="2"/>
  <c r="H4" i="2"/>
  <c r="H5" i="2"/>
  <c r="H6" i="2"/>
  <c r="H7" i="2"/>
  <c r="H2" i="2"/>
  <c r="G3" i="2"/>
  <c r="G4" i="2"/>
  <c r="G5" i="2"/>
  <c r="G6" i="2"/>
  <c r="G7" i="2"/>
  <c r="G2" i="2"/>
  <c r="C2" i="2" l="1"/>
  <c r="C7" i="2"/>
  <c r="C6" i="2"/>
  <c r="C5" i="2"/>
  <c r="C4" i="2"/>
  <c r="B17" i="1" l="1"/>
  <c r="B16" i="1"/>
  <c r="B14" i="1"/>
  <c r="I9" i="1"/>
  <c r="H9" i="1"/>
  <c r="E9" i="1"/>
  <c r="C9" i="1"/>
  <c r="B9" i="1"/>
  <c r="I8" i="1"/>
  <c r="I7" i="1"/>
  <c r="H8" i="1"/>
  <c r="H7" i="1"/>
  <c r="C8" i="1"/>
  <c r="E8" i="1" s="1"/>
  <c r="F8" i="1" s="1"/>
  <c r="C7" i="1"/>
  <c r="E7" i="1" s="1"/>
  <c r="F7" i="1" s="1"/>
  <c r="D3" i="1"/>
  <c r="D2" i="1"/>
</calcChain>
</file>

<file path=xl/sharedStrings.xml><?xml version="1.0" encoding="utf-8"?>
<sst xmlns="http://schemas.openxmlformats.org/spreadsheetml/2006/main" count="83" uniqueCount="56">
  <si>
    <t>PMNA</t>
  </si>
  <si>
    <t>Edappal</t>
  </si>
  <si>
    <t>Store</t>
  </si>
  <si>
    <t>SPD 1-14</t>
  </si>
  <si>
    <t>SPD 15-21</t>
  </si>
  <si>
    <t>Growth%</t>
  </si>
  <si>
    <t>22-28 SPD</t>
  </si>
  <si>
    <t>Week Tgt</t>
  </si>
  <si>
    <t>Staff Incentive</t>
  </si>
  <si>
    <t>Per Staff</t>
  </si>
  <si>
    <t>Staff Incentive %</t>
  </si>
  <si>
    <t>Manager Incentive%</t>
  </si>
  <si>
    <t>M Incentive</t>
  </si>
  <si>
    <t>Total Incentive</t>
  </si>
  <si>
    <t>Total</t>
  </si>
  <si>
    <t>Manjeri 7 days TGT</t>
  </si>
  <si>
    <t>Week Target</t>
  </si>
  <si>
    <t>Per Day TGT</t>
  </si>
  <si>
    <t>Incentive Amount</t>
  </si>
  <si>
    <t>Per staff incentive</t>
  </si>
  <si>
    <t>Staff Name</t>
  </si>
  <si>
    <t>Adhil</t>
  </si>
  <si>
    <t>Jasimsha</t>
  </si>
  <si>
    <t>Niyas</t>
  </si>
  <si>
    <t>S Faris</t>
  </si>
  <si>
    <t>Salman</t>
  </si>
  <si>
    <t>Sanju</t>
  </si>
  <si>
    <t>Walkins</t>
  </si>
  <si>
    <t>Bills</t>
  </si>
  <si>
    <t>Qty</t>
  </si>
  <si>
    <t>Conversion%</t>
  </si>
  <si>
    <t>Loss</t>
  </si>
  <si>
    <t>Attending%</t>
  </si>
  <si>
    <t>ABS</t>
  </si>
  <si>
    <t>Value</t>
  </si>
  <si>
    <t>Kannur</t>
  </si>
  <si>
    <t>Vadakara</t>
  </si>
  <si>
    <t>Calicut</t>
  </si>
  <si>
    <t>Kalpetta</t>
  </si>
  <si>
    <t>Kottakal</t>
  </si>
  <si>
    <t>Manjeri</t>
  </si>
  <si>
    <t>Perinthalmanna</t>
  </si>
  <si>
    <t>Stores</t>
  </si>
  <si>
    <t>Week 1 TGT @20%</t>
  </si>
  <si>
    <t>Week 2 TGT @26%</t>
  </si>
  <si>
    <t>Week 3 TGT @27%</t>
  </si>
  <si>
    <t>Week 4@ 27%</t>
  </si>
  <si>
    <t>Target 10% Growth</t>
  </si>
  <si>
    <t>NOV</t>
  </si>
  <si>
    <t>DEC</t>
  </si>
  <si>
    <t>Growth</t>
  </si>
  <si>
    <t>NOV 25 MTD</t>
  </si>
  <si>
    <t>SPD</t>
  </si>
  <si>
    <t>Nov Projection</t>
  </si>
  <si>
    <t>Growth to DEC</t>
  </si>
  <si>
    <t>Dec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</si>
</sst>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9" fontId="0" fillId="0" borderId="1" xfId="1" applyFont="1" applyBorder="1"/>
    <xf numFmtId="10" fontId="0" fillId="0" borderId="1" xfId="0" applyNumberFormat="1" applyBorder="1"/>
    <xf numFmtId="9" fontId="0" fillId="0" borderId="1" xfId="0" applyNumberFormat="1" applyBorder="1"/>
    <xf numFmtId="1" fontId="0" fillId="0" borderId="1" xfId="0" applyNumberFormat="1" applyBorder="1"/>
    <xf numFmtId="0" fontId="2" fillId="3" borderId="1" xfId="0" applyFont="1" applyFill="1" applyBorder="1"/>
    <xf numFmtId="0" fontId="2" fillId="2" borderId="1" xfId="0" applyFont="1" applyFill="1" applyBorder="1"/>
    <xf numFmtId="1" fontId="2" fillId="2" borderId="1" xfId="0" applyNumberFormat="1" applyFont="1" applyFill="1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/>
    <xf numFmtId="1" fontId="0" fillId="0" borderId="0" xfId="0" applyNumberFormat="1"/>
    <xf numFmtId="1" fontId="0" fillId="0" borderId="1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0" fillId="0" borderId="0" xfId="0" applyFill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E14" sqref="E14"/>
    </sheetView>
  </sheetViews>
  <sheetFormatPr defaultRowHeight="14.4" x14ac:dyDescent="0.3"/>
  <cols>
    <col min="1" max="1" width="15.77734375" bestFit="1" customWidth="1"/>
    <col min="2" max="2" width="10.109375" bestFit="1" customWidth="1"/>
    <col min="4" max="4" width="14.77734375" bestFit="1" customWidth="1"/>
    <col min="5" max="5" width="12.77734375" bestFit="1" customWidth="1"/>
    <col min="7" max="7" width="17.77734375" bestFit="1" customWidth="1"/>
    <col min="8" max="8" width="10.5546875" bestFit="1" customWidth="1"/>
    <col min="9" max="9" width="13.21875" bestFit="1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9" x14ac:dyDescent="0.3">
      <c r="A2" s="1" t="s">
        <v>0</v>
      </c>
      <c r="B2" s="1">
        <v>13885</v>
      </c>
      <c r="C2" s="1">
        <v>24028</v>
      </c>
      <c r="D2" s="2">
        <f>C2/B2-1</f>
        <v>0.73050054015124233</v>
      </c>
      <c r="E2" s="1">
        <v>26500</v>
      </c>
    </row>
    <row r="3" spans="1:9" x14ac:dyDescent="0.3">
      <c r="A3" s="1" t="s">
        <v>1</v>
      </c>
      <c r="B3" s="1">
        <v>7771</v>
      </c>
      <c r="C3" s="1">
        <v>8585</v>
      </c>
      <c r="D3" s="2">
        <f>C3/B3-1</f>
        <v>0.10474842362630299</v>
      </c>
      <c r="E3" s="1">
        <v>9500</v>
      </c>
    </row>
    <row r="6" spans="1:9" x14ac:dyDescent="0.3">
      <c r="A6" s="6" t="s">
        <v>2</v>
      </c>
      <c r="B6" s="6" t="s">
        <v>6</v>
      </c>
      <c r="C6" s="6" t="s">
        <v>7</v>
      </c>
      <c r="D6" s="6" t="s">
        <v>10</v>
      </c>
      <c r="E6" s="6" t="s">
        <v>8</v>
      </c>
      <c r="F6" s="6" t="s">
        <v>9</v>
      </c>
      <c r="G6" s="6" t="s">
        <v>11</v>
      </c>
      <c r="H6" s="6" t="s">
        <v>12</v>
      </c>
      <c r="I6" s="6" t="s">
        <v>13</v>
      </c>
    </row>
    <row r="7" spans="1:9" x14ac:dyDescent="0.3">
      <c r="A7" s="1" t="s">
        <v>0</v>
      </c>
      <c r="B7" s="1">
        <v>26500</v>
      </c>
      <c r="C7" s="1">
        <f>B7*7</f>
        <v>185500</v>
      </c>
      <c r="D7" s="3">
        <v>3.5000000000000003E-2</v>
      </c>
      <c r="E7" s="5">
        <f>C7*3.5%</f>
        <v>6492.5000000000009</v>
      </c>
      <c r="F7" s="5">
        <f>E7/5</f>
        <v>1298.5000000000002</v>
      </c>
      <c r="G7" s="4">
        <v>0.01</v>
      </c>
      <c r="H7" s="1">
        <f>C7*G7</f>
        <v>1855</v>
      </c>
      <c r="I7" s="5">
        <f>E7+H7</f>
        <v>8347.5</v>
      </c>
    </row>
    <row r="8" spans="1:9" x14ac:dyDescent="0.3">
      <c r="A8" s="1" t="s">
        <v>1</v>
      </c>
      <c r="B8" s="1">
        <v>10500</v>
      </c>
      <c r="C8" s="1">
        <f>B8*7</f>
        <v>73500</v>
      </c>
      <c r="D8" s="4">
        <v>7.0000000000000007E-2</v>
      </c>
      <c r="E8" s="1">
        <f>C8*7%</f>
        <v>5145.0000000000009</v>
      </c>
      <c r="F8" s="1">
        <f>E8/5</f>
        <v>1029.0000000000002</v>
      </c>
      <c r="G8" s="4">
        <v>0.02</v>
      </c>
      <c r="H8" s="1">
        <f>C8*G8</f>
        <v>1470</v>
      </c>
      <c r="I8" s="5">
        <f>E8+H8</f>
        <v>6615.0000000000009</v>
      </c>
    </row>
    <row r="9" spans="1:9" x14ac:dyDescent="0.3">
      <c r="A9" s="7" t="s">
        <v>14</v>
      </c>
      <c r="B9" s="7">
        <f>SUM(B7:B8)</f>
        <v>37000</v>
      </c>
      <c r="C9" s="7">
        <f>SUM(C7:C8)</f>
        <v>259000</v>
      </c>
      <c r="D9" s="7"/>
      <c r="E9" s="8">
        <f>SUM(E7:E8)</f>
        <v>11637.500000000002</v>
      </c>
      <c r="F9" s="7"/>
      <c r="G9" s="7"/>
      <c r="H9" s="7">
        <f>SUM(H7:H8)</f>
        <v>3325</v>
      </c>
      <c r="I9" s="8">
        <f>SUM(I7:I8)</f>
        <v>14962.5</v>
      </c>
    </row>
    <row r="12" spans="1:9" x14ac:dyDescent="0.3">
      <c r="A12" s="12" t="s">
        <v>15</v>
      </c>
      <c r="B12" s="12"/>
    </row>
    <row r="13" spans="1:9" x14ac:dyDescent="0.3">
      <c r="A13" s="1" t="s">
        <v>16</v>
      </c>
      <c r="B13" s="1">
        <v>56000</v>
      </c>
    </row>
    <row r="14" spans="1:9" x14ac:dyDescent="0.3">
      <c r="A14" s="1" t="s">
        <v>17</v>
      </c>
      <c r="B14" s="1">
        <f>B13/7</f>
        <v>8000</v>
      </c>
    </row>
    <row r="15" spans="1:9" x14ac:dyDescent="0.3">
      <c r="A15" s="1" t="s">
        <v>8</v>
      </c>
      <c r="B15" s="4">
        <v>0.08</v>
      </c>
    </row>
    <row r="16" spans="1:9" x14ac:dyDescent="0.3">
      <c r="A16" s="1" t="s">
        <v>18</v>
      </c>
      <c r="B16" s="1">
        <f>B13*B15</f>
        <v>4480</v>
      </c>
    </row>
    <row r="17" spans="1:2" x14ac:dyDescent="0.3">
      <c r="A17" s="1" t="s">
        <v>19</v>
      </c>
      <c r="B17" s="1">
        <f>B16/4</f>
        <v>1120</v>
      </c>
    </row>
  </sheetData>
  <mergeCells count="1"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E7BF-EC34-4407-8B34-147695D40746}">
  <dimension ref="A1:I8"/>
  <sheetViews>
    <sheetView workbookViewId="0">
      <selection sqref="A1:I8"/>
    </sheetView>
  </sheetViews>
  <sheetFormatPr defaultRowHeight="14.4" x14ac:dyDescent="0.3"/>
  <cols>
    <col min="1" max="1" width="10.21875" bestFit="1" customWidth="1"/>
    <col min="3" max="3" width="10.21875" bestFit="1" customWidth="1"/>
    <col min="8" max="8" width="11.5546875" bestFit="1" customWidth="1"/>
  </cols>
  <sheetData>
    <row r="1" spans="1:9" x14ac:dyDescent="0.3">
      <c r="A1" s="9" t="s">
        <v>20</v>
      </c>
      <c r="B1" s="9" t="s">
        <v>27</v>
      </c>
      <c r="C1" s="9" t="s">
        <v>32</v>
      </c>
      <c r="D1" s="9" t="s">
        <v>28</v>
      </c>
      <c r="E1" s="9" t="s">
        <v>34</v>
      </c>
      <c r="F1" s="9" t="s">
        <v>29</v>
      </c>
      <c r="G1" s="9" t="s">
        <v>31</v>
      </c>
      <c r="H1" s="9" t="s">
        <v>30</v>
      </c>
      <c r="I1" s="9" t="s">
        <v>33</v>
      </c>
    </row>
    <row r="2" spans="1:9" x14ac:dyDescent="0.3">
      <c r="A2" s="9" t="s">
        <v>21</v>
      </c>
      <c r="B2" s="9">
        <v>22</v>
      </c>
      <c r="C2" s="10">
        <f>B2/$B$8</f>
        <v>0.15942028985507245</v>
      </c>
      <c r="D2" s="9">
        <v>15</v>
      </c>
      <c r="E2" s="9">
        <v>58900</v>
      </c>
      <c r="F2" s="9">
        <v>17</v>
      </c>
      <c r="G2" s="9">
        <f>B2-D2</f>
        <v>7</v>
      </c>
      <c r="H2" s="10">
        <f>D2/B2</f>
        <v>0.68181818181818177</v>
      </c>
      <c r="I2" s="11">
        <f>F2/D2</f>
        <v>1.1333333333333333</v>
      </c>
    </row>
    <row r="3" spans="1:9" x14ac:dyDescent="0.3">
      <c r="A3" s="9" t="s">
        <v>22</v>
      </c>
      <c r="B3" s="9">
        <v>25</v>
      </c>
      <c r="C3" s="10">
        <f t="shared" ref="C3:C7" si="0">B3/$B$8</f>
        <v>0.18115942028985507</v>
      </c>
      <c r="D3" s="9">
        <v>16</v>
      </c>
      <c r="E3" s="9">
        <v>79700</v>
      </c>
      <c r="F3" s="9">
        <v>18</v>
      </c>
      <c r="G3" s="9">
        <f t="shared" ref="G3:G7" si="1">B3-D3</f>
        <v>9</v>
      </c>
      <c r="H3" s="10">
        <f t="shared" ref="H3:H8" si="2">D3/B3</f>
        <v>0.64</v>
      </c>
      <c r="I3" s="11">
        <f t="shared" ref="I3:I8" si="3">F3/D3</f>
        <v>1.125</v>
      </c>
    </row>
    <row r="4" spans="1:9" x14ac:dyDescent="0.3">
      <c r="A4" s="9" t="s">
        <v>23</v>
      </c>
      <c r="B4" s="9">
        <v>22</v>
      </c>
      <c r="C4" s="10">
        <f t="shared" si="0"/>
        <v>0.15942028985507245</v>
      </c>
      <c r="D4" s="9">
        <v>20</v>
      </c>
      <c r="E4" s="9">
        <v>103000</v>
      </c>
      <c r="F4" s="9">
        <v>26</v>
      </c>
      <c r="G4" s="9">
        <f t="shared" si="1"/>
        <v>2</v>
      </c>
      <c r="H4" s="10">
        <f t="shared" si="2"/>
        <v>0.90909090909090906</v>
      </c>
      <c r="I4" s="11">
        <f t="shared" si="3"/>
        <v>1.3</v>
      </c>
    </row>
    <row r="5" spans="1:9" x14ac:dyDescent="0.3">
      <c r="A5" s="9" t="s">
        <v>24</v>
      </c>
      <c r="B5" s="9">
        <v>33</v>
      </c>
      <c r="C5" s="10">
        <f t="shared" si="0"/>
        <v>0.2391304347826087</v>
      </c>
      <c r="D5" s="9">
        <v>19</v>
      </c>
      <c r="E5" s="9">
        <v>99000</v>
      </c>
      <c r="F5" s="9">
        <v>26</v>
      </c>
      <c r="G5" s="9">
        <f t="shared" si="1"/>
        <v>14</v>
      </c>
      <c r="H5" s="10">
        <f t="shared" si="2"/>
        <v>0.5757575757575758</v>
      </c>
      <c r="I5" s="11">
        <f t="shared" si="3"/>
        <v>1.368421052631579</v>
      </c>
    </row>
    <row r="6" spans="1:9" x14ac:dyDescent="0.3">
      <c r="A6" s="9" t="s">
        <v>25</v>
      </c>
      <c r="B6" s="9">
        <v>23</v>
      </c>
      <c r="C6" s="10">
        <f t="shared" si="0"/>
        <v>0.16666666666666666</v>
      </c>
      <c r="D6" s="9">
        <v>15</v>
      </c>
      <c r="E6" s="9">
        <v>75400</v>
      </c>
      <c r="F6" s="9">
        <v>23</v>
      </c>
      <c r="G6" s="9">
        <f t="shared" si="1"/>
        <v>8</v>
      </c>
      <c r="H6" s="10">
        <f t="shared" si="2"/>
        <v>0.65217391304347827</v>
      </c>
      <c r="I6" s="11">
        <f t="shared" si="3"/>
        <v>1.5333333333333334</v>
      </c>
    </row>
    <row r="7" spans="1:9" x14ac:dyDescent="0.3">
      <c r="A7" s="9" t="s">
        <v>26</v>
      </c>
      <c r="B7" s="9">
        <v>13</v>
      </c>
      <c r="C7" s="10">
        <f t="shared" si="0"/>
        <v>9.420289855072464E-2</v>
      </c>
      <c r="D7" s="9">
        <v>12</v>
      </c>
      <c r="E7" s="9">
        <v>49500</v>
      </c>
      <c r="F7" s="9">
        <v>14</v>
      </c>
      <c r="G7" s="9">
        <f t="shared" si="1"/>
        <v>1</v>
      </c>
      <c r="H7" s="10">
        <f t="shared" si="2"/>
        <v>0.92307692307692313</v>
      </c>
      <c r="I7" s="11">
        <f t="shared" si="3"/>
        <v>1.1666666666666667</v>
      </c>
    </row>
    <row r="8" spans="1:9" x14ac:dyDescent="0.3">
      <c r="A8" s="9"/>
      <c r="B8" s="9">
        <f>SUM(B2:B7)</f>
        <v>138</v>
      </c>
      <c r="C8" s="9"/>
      <c r="D8" s="9">
        <f>SUM(D2:D7)</f>
        <v>97</v>
      </c>
      <c r="E8" s="9">
        <f>SUM(E2:E7)</f>
        <v>465500</v>
      </c>
      <c r="F8" s="9">
        <f>SUM(F2:F7)</f>
        <v>124</v>
      </c>
      <c r="G8" s="9">
        <f>SUM(G2:G7)</f>
        <v>41</v>
      </c>
      <c r="H8" s="10">
        <f t="shared" si="2"/>
        <v>0.70289855072463769</v>
      </c>
      <c r="I8" s="11">
        <f t="shared" si="3"/>
        <v>1.2783505154639174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70C4-3C6E-49C3-92B4-9FA139B2C2A9}">
  <dimension ref="A1:G10"/>
  <sheetViews>
    <sheetView tabSelected="1" workbookViewId="0">
      <selection activeCell="E12" sqref="E12"/>
    </sheetView>
  </sheetViews>
  <sheetFormatPr defaultRowHeight="14.4" x14ac:dyDescent="0.3"/>
  <cols>
    <col min="1" max="1" width="14.5546875" bestFit="1" customWidth="1"/>
    <col min="2" max="2" width="14.33203125" customWidth="1"/>
    <col min="3" max="3" width="16.77734375" bestFit="1" customWidth="1"/>
    <col min="4" max="6" width="16.5546875" bestFit="1" customWidth="1"/>
    <col min="7" max="7" width="12.77734375" bestFit="1" customWidth="1"/>
  </cols>
  <sheetData>
    <row r="1" spans="1:7" x14ac:dyDescent="0.3">
      <c r="A1" s="16" t="s">
        <v>42</v>
      </c>
      <c r="B1" s="16">
        <v>45627</v>
      </c>
      <c r="C1" s="17" t="s">
        <v>47</v>
      </c>
      <c r="D1" s="18" t="s">
        <v>43</v>
      </c>
      <c r="E1" s="18" t="s">
        <v>44</v>
      </c>
      <c r="F1" s="18" t="s">
        <v>45</v>
      </c>
      <c r="G1" s="18" t="s">
        <v>46</v>
      </c>
    </row>
    <row r="2" spans="1:7" x14ac:dyDescent="0.3">
      <c r="A2" s="19" t="s">
        <v>35</v>
      </c>
      <c r="B2" s="9">
        <v>756200</v>
      </c>
      <c r="C2" s="9">
        <v>831820</v>
      </c>
      <c r="D2" s="15">
        <f>C2*20%</f>
        <v>166364</v>
      </c>
      <c r="E2" s="15">
        <f>C2*26%</f>
        <v>216273.2</v>
      </c>
      <c r="F2" s="15">
        <f>C2*27%</f>
        <v>224591.40000000002</v>
      </c>
      <c r="G2" s="15">
        <f>C2*27%</f>
        <v>224591.40000000002</v>
      </c>
    </row>
    <row r="3" spans="1:7" x14ac:dyDescent="0.3">
      <c r="A3" s="19" t="s">
        <v>36</v>
      </c>
      <c r="B3" s="9">
        <v>219700</v>
      </c>
      <c r="C3" s="9">
        <v>241670</v>
      </c>
      <c r="D3" s="15">
        <f t="shared" ref="D3:D10" si="0">C3*20%</f>
        <v>48334</v>
      </c>
      <c r="E3" s="15">
        <f t="shared" ref="E3:E9" si="1">C3*26%</f>
        <v>62834.200000000004</v>
      </c>
      <c r="F3" s="15">
        <f t="shared" ref="F3:F10" si="2">C3*27%</f>
        <v>65250.9</v>
      </c>
      <c r="G3" s="15">
        <f t="shared" ref="G3:G10" si="3">C3*27%</f>
        <v>65250.9</v>
      </c>
    </row>
    <row r="4" spans="1:7" x14ac:dyDescent="0.3">
      <c r="A4" s="19" t="s">
        <v>37</v>
      </c>
      <c r="B4" s="9">
        <v>347300</v>
      </c>
      <c r="C4" s="9">
        <v>382030</v>
      </c>
      <c r="D4" s="15">
        <f t="shared" si="0"/>
        <v>76406</v>
      </c>
      <c r="E4" s="15">
        <f t="shared" si="1"/>
        <v>99327.8</v>
      </c>
      <c r="F4" s="15">
        <f t="shared" si="2"/>
        <v>103148.1</v>
      </c>
      <c r="G4" s="15">
        <f t="shared" si="3"/>
        <v>103148.1</v>
      </c>
    </row>
    <row r="5" spans="1:7" x14ac:dyDescent="0.3">
      <c r="A5" s="19" t="s">
        <v>38</v>
      </c>
      <c r="B5" s="9">
        <v>299500</v>
      </c>
      <c r="C5" s="9">
        <v>329450</v>
      </c>
      <c r="D5" s="15">
        <f t="shared" si="0"/>
        <v>65890</v>
      </c>
      <c r="E5" s="15">
        <f t="shared" si="1"/>
        <v>85657</v>
      </c>
      <c r="F5" s="15">
        <f t="shared" si="2"/>
        <v>88951.5</v>
      </c>
      <c r="G5" s="15">
        <f t="shared" si="3"/>
        <v>88951.5</v>
      </c>
    </row>
    <row r="6" spans="1:7" x14ac:dyDescent="0.3">
      <c r="A6" s="19" t="s">
        <v>39</v>
      </c>
      <c r="B6" s="9">
        <v>304250</v>
      </c>
      <c r="C6" s="9">
        <v>334675</v>
      </c>
      <c r="D6" s="15">
        <f t="shared" si="0"/>
        <v>66935</v>
      </c>
      <c r="E6" s="15">
        <f t="shared" si="1"/>
        <v>87015.5</v>
      </c>
      <c r="F6" s="15">
        <f t="shared" si="2"/>
        <v>90362.25</v>
      </c>
      <c r="G6" s="15">
        <f t="shared" si="3"/>
        <v>90362.25</v>
      </c>
    </row>
    <row r="7" spans="1:7" x14ac:dyDescent="0.3">
      <c r="A7" s="19" t="s">
        <v>40</v>
      </c>
      <c r="B7" s="9">
        <v>71000</v>
      </c>
      <c r="C7" s="9">
        <v>350000</v>
      </c>
      <c r="D7" s="15">
        <f t="shared" si="0"/>
        <v>70000</v>
      </c>
      <c r="E7" s="15">
        <f t="shared" si="1"/>
        <v>91000</v>
      </c>
      <c r="F7" s="15">
        <f t="shared" si="2"/>
        <v>94500</v>
      </c>
      <c r="G7" s="15">
        <f t="shared" si="3"/>
        <v>94500</v>
      </c>
    </row>
    <row r="8" spans="1:7" x14ac:dyDescent="0.3">
      <c r="A8" s="19" t="s">
        <v>41</v>
      </c>
      <c r="B8" s="9">
        <v>788750</v>
      </c>
      <c r="C8" s="9">
        <v>867625</v>
      </c>
      <c r="D8" s="15">
        <f t="shared" si="0"/>
        <v>173525</v>
      </c>
      <c r="E8" s="15">
        <f t="shared" si="1"/>
        <v>225582.5</v>
      </c>
      <c r="F8" s="15">
        <f t="shared" si="2"/>
        <v>234258.75000000003</v>
      </c>
      <c r="G8" s="15">
        <f t="shared" si="3"/>
        <v>234258.75000000003</v>
      </c>
    </row>
    <row r="9" spans="1:7" x14ac:dyDescent="0.3">
      <c r="A9" s="19" t="s">
        <v>1</v>
      </c>
      <c r="B9" s="9">
        <v>709920</v>
      </c>
      <c r="C9" s="9">
        <v>780912</v>
      </c>
      <c r="D9" s="15">
        <f t="shared" si="0"/>
        <v>156182.39999999999</v>
      </c>
      <c r="E9" s="15">
        <f t="shared" si="1"/>
        <v>203037.12</v>
      </c>
      <c r="F9" s="15">
        <f t="shared" si="2"/>
        <v>210846.24000000002</v>
      </c>
      <c r="G9" s="15">
        <f t="shared" si="3"/>
        <v>210846.24000000002</v>
      </c>
    </row>
    <row r="10" spans="1:7" x14ac:dyDescent="0.3">
      <c r="A10" s="20" t="s">
        <v>14</v>
      </c>
      <c r="B10" s="20">
        <f>SUM(B2:B9)</f>
        <v>3496620</v>
      </c>
      <c r="C10" s="21">
        <f>SUM(C1:C9)</f>
        <v>4118182</v>
      </c>
      <c r="D10" s="21">
        <f t="shared" si="0"/>
        <v>823636.4</v>
      </c>
      <c r="E10" s="21">
        <f>C10*26%</f>
        <v>1070727.32</v>
      </c>
      <c r="F10" s="21">
        <f t="shared" si="2"/>
        <v>1111909.1400000001</v>
      </c>
      <c r="G10" s="21">
        <f t="shared" si="3"/>
        <v>1111909.1400000001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B3A8-F31D-4E67-8879-E985B2AD3398}">
  <dimension ref="A1:D10"/>
  <sheetViews>
    <sheetView workbookViewId="0">
      <selection activeCell="D1" sqref="D1:D8"/>
    </sheetView>
  </sheetViews>
  <sheetFormatPr defaultRowHeight="14.4" x14ac:dyDescent="0.3"/>
  <cols>
    <col min="1" max="1" width="14.5546875" bestFit="1" customWidth="1"/>
  </cols>
  <sheetData>
    <row r="1" spans="1:4" x14ac:dyDescent="0.3">
      <c r="A1" s="16" t="s">
        <v>42</v>
      </c>
      <c r="B1" s="1" t="s">
        <v>48</v>
      </c>
      <c r="C1" s="1" t="s">
        <v>49</v>
      </c>
      <c r="D1" s="1" t="s">
        <v>50</v>
      </c>
    </row>
    <row r="2" spans="1:4" x14ac:dyDescent="0.3">
      <c r="A2" s="19" t="s">
        <v>35</v>
      </c>
      <c r="B2" s="1">
        <v>403300</v>
      </c>
      <c r="C2" s="1">
        <v>756200</v>
      </c>
      <c r="D2" s="2">
        <f>C2/B2-1</f>
        <v>0.87503099429704934</v>
      </c>
    </row>
    <row r="3" spans="1:4" x14ac:dyDescent="0.3">
      <c r="A3" s="19" t="s">
        <v>36</v>
      </c>
      <c r="B3" s="1">
        <v>154450</v>
      </c>
      <c r="C3" s="1">
        <v>219700</v>
      </c>
      <c r="D3" s="2">
        <f t="shared" ref="D3:D10" si="0">C3/B3-1</f>
        <v>0.42246681774036898</v>
      </c>
    </row>
    <row r="4" spans="1:4" x14ac:dyDescent="0.3">
      <c r="A4" s="19" t="s">
        <v>37</v>
      </c>
      <c r="B4" s="1">
        <v>257400</v>
      </c>
      <c r="C4" s="1">
        <v>347300</v>
      </c>
      <c r="D4" s="2">
        <f t="shared" si="0"/>
        <v>0.34926184926184933</v>
      </c>
    </row>
    <row r="5" spans="1:4" x14ac:dyDescent="0.3">
      <c r="A5" s="19" t="s">
        <v>38</v>
      </c>
      <c r="B5" s="1">
        <v>227120</v>
      </c>
      <c r="C5" s="1">
        <v>299500</v>
      </c>
      <c r="D5" s="2">
        <f t="shared" si="0"/>
        <v>0.31868615709756964</v>
      </c>
    </row>
    <row r="6" spans="1:4" x14ac:dyDescent="0.3">
      <c r="A6" s="19" t="s">
        <v>39</v>
      </c>
      <c r="B6" s="1">
        <v>184100</v>
      </c>
      <c r="C6" s="1">
        <v>304250</v>
      </c>
      <c r="D6" s="2">
        <f t="shared" si="0"/>
        <v>0.65263443780554042</v>
      </c>
    </row>
    <row r="7" spans="1:4" x14ac:dyDescent="0.3">
      <c r="A7" s="19" t="s">
        <v>40</v>
      </c>
      <c r="B7" s="1">
        <v>36250</v>
      </c>
      <c r="C7" s="1">
        <v>71100</v>
      </c>
      <c r="D7" s="2">
        <f t="shared" si="0"/>
        <v>0.9613793103448276</v>
      </c>
    </row>
    <row r="8" spans="1:4" x14ac:dyDescent="0.3">
      <c r="A8" s="19" t="s">
        <v>41</v>
      </c>
      <c r="B8" s="1">
        <v>601130</v>
      </c>
      <c r="C8" s="1">
        <v>788750</v>
      </c>
      <c r="D8" s="2">
        <f t="shared" si="0"/>
        <v>0.31211218871126056</v>
      </c>
    </row>
    <row r="9" spans="1:4" x14ac:dyDescent="0.3">
      <c r="A9" s="19" t="s">
        <v>1</v>
      </c>
      <c r="B9" s="1">
        <v>353000</v>
      </c>
      <c r="C9" s="1">
        <v>709920</v>
      </c>
      <c r="D9" s="2">
        <f t="shared" si="0"/>
        <v>1.0111048158640226</v>
      </c>
    </row>
    <row r="10" spans="1:4" x14ac:dyDescent="0.3">
      <c r="A10" s="20" t="s">
        <v>14</v>
      </c>
      <c r="B10" s="1">
        <f>SUM(B2:B9)</f>
        <v>2216750</v>
      </c>
      <c r="C10" s="1">
        <f>SUM(C2:C9)</f>
        <v>3496720</v>
      </c>
      <c r="D10" s="2">
        <f t="shared" si="0"/>
        <v>0.57740836810646212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C549-23E6-48F7-9B44-CF39E41B5724}">
  <dimension ref="A1:F10"/>
  <sheetViews>
    <sheetView workbookViewId="0">
      <selection activeCell="F8" sqref="F8"/>
    </sheetView>
  </sheetViews>
  <sheetFormatPr defaultRowHeight="14.4" x14ac:dyDescent="0.3"/>
  <cols>
    <col min="1" max="1" width="14.5546875" bestFit="1" customWidth="1"/>
    <col min="2" max="2" width="11.5546875" bestFit="1" customWidth="1"/>
    <col min="4" max="5" width="13.21875" bestFit="1" customWidth="1"/>
    <col min="6" max="6" width="20.21875" bestFit="1" customWidth="1"/>
  </cols>
  <sheetData>
    <row r="1" spans="1:6" x14ac:dyDescent="0.3">
      <c r="A1" s="16" t="s">
        <v>42</v>
      </c>
      <c r="B1" t="s">
        <v>51</v>
      </c>
      <c r="C1" t="s">
        <v>52</v>
      </c>
      <c r="D1" t="s">
        <v>53</v>
      </c>
      <c r="E1" s="1" t="s">
        <v>54</v>
      </c>
      <c r="F1" s="22" t="s">
        <v>55</v>
      </c>
    </row>
    <row r="2" spans="1:6" x14ac:dyDescent="0.3">
      <c r="A2" s="19" t="s">
        <v>35</v>
      </c>
      <c r="B2">
        <v>466400</v>
      </c>
      <c r="C2">
        <f>B2/25</f>
        <v>18656</v>
      </c>
      <c r="D2" s="14">
        <f>B2+(C2*5)</f>
        <v>559680</v>
      </c>
      <c r="E2" s="2">
        <v>0.87503099429704934</v>
      </c>
      <c r="F2" s="13">
        <v>1052198</v>
      </c>
    </row>
    <row r="3" spans="1:6" x14ac:dyDescent="0.3">
      <c r="A3" s="19" t="s">
        <v>36</v>
      </c>
      <c r="B3">
        <v>109000</v>
      </c>
      <c r="C3">
        <f t="shared" ref="C3:C10" si="0">B3/25</f>
        <v>4360</v>
      </c>
      <c r="D3" s="14">
        <f t="shared" ref="D3:D9" si="1">B3+(C3*5)</f>
        <v>130800</v>
      </c>
      <c r="E3" s="2">
        <v>0.42246681774036898</v>
      </c>
      <c r="F3" s="13">
        <v>185736</v>
      </c>
    </row>
    <row r="4" spans="1:6" x14ac:dyDescent="0.3">
      <c r="A4" s="19" t="s">
        <v>37</v>
      </c>
      <c r="B4">
        <v>264900</v>
      </c>
      <c r="C4">
        <f t="shared" si="0"/>
        <v>10596</v>
      </c>
      <c r="D4" s="14">
        <f t="shared" si="1"/>
        <v>317880</v>
      </c>
      <c r="E4" s="2">
        <v>0.34926184926184933</v>
      </c>
      <c r="F4" s="13">
        <v>429138</v>
      </c>
    </row>
    <row r="5" spans="1:6" x14ac:dyDescent="0.3">
      <c r="A5" s="19" t="s">
        <v>38</v>
      </c>
      <c r="B5">
        <v>134100</v>
      </c>
      <c r="C5">
        <f t="shared" si="0"/>
        <v>5364</v>
      </c>
      <c r="D5" s="14">
        <f t="shared" si="1"/>
        <v>160920</v>
      </c>
      <c r="E5" s="2">
        <v>0.31868615709756964</v>
      </c>
      <c r="F5" s="13">
        <v>212414</v>
      </c>
    </row>
    <row r="6" spans="1:6" x14ac:dyDescent="0.3">
      <c r="A6" s="19" t="s">
        <v>39</v>
      </c>
      <c r="B6">
        <v>81200</v>
      </c>
      <c r="C6">
        <f t="shared" si="0"/>
        <v>3248</v>
      </c>
      <c r="D6" s="14">
        <f t="shared" si="1"/>
        <v>97440</v>
      </c>
      <c r="E6" s="2">
        <v>0.65263443780554042</v>
      </c>
      <c r="F6" s="13">
        <v>160776</v>
      </c>
    </row>
    <row r="7" spans="1:6" x14ac:dyDescent="0.3">
      <c r="A7" s="19" t="s">
        <v>40</v>
      </c>
      <c r="B7">
        <v>128063</v>
      </c>
      <c r="C7">
        <f t="shared" si="0"/>
        <v>5122.5200000000004</v>
      </c>
      <c r="D7" s="14">
        <f t="shared" si="1"/>
        <v>153675.6</v>
      </c>
      <c r="E7" s="2">
        <v>0.9613793103448276</v>
      </c>
      <c r="F7" s="13">
        <v>301204</v>
      </c>
    </row>
    <row r="8" spans="1:6" x14ac:dyDescent="0.3">
      <c r="A8" s="19" t="s">
        <v>41</v>
      </c>
      <c r="B8">
        <v>499000</v>
      </c>
      <c r="C8">
        <f t="shared" si="0"/>
        <v>19960</v>
      </c>
      <c r="D8" s="14">
        <f t="shared" si="1"/>
        <v>598800</v>
      </c>
      <c r="E8" s="2">
        <v>0.31211218871126056</v>
      </c>
      <c r="F8" s="13">
        <v>784428</v>
      </c>
    </row>
    <row r="9" spans="1:6" x14ac:dyDescent="0.3">
      <c r="A9" s="19" t="s">
        <v>1</v>
      </c>
      <c r="B9">
        <v>214600</v>
      </c>
      <c r="C9">
        <f t="shared" si="0"/>
        <v>8584</v>
      </c>
      <c r="D9" s="14">
        <f t="shared" si="1"/>
        <v>257520</v>
      </c>
      <c r="E9" s="2">
        <v>1.0111048158640226</v>
      </c>
      <c r="F9" s="13">
        <v>515040</v>
      </c>
    </row>
    <row r="10" spans="1:6" x14ac:dyDescent="0.3">
      <c r="A10" s="20" t="s">
        <v>14</v>
      </c>
      <c r="B10">
        <f>SUM(B2:B9)</f>
        <v>1897263</v>
      </c>
      <c r="C10">
        <f t="shared" si="0"/>
        <v>75890.52</v>
      </c>
      <c r="D10" s="14">
        <f>B10+(C10*5)</f>
        <v>2276715.6</v>
      </c>
      <c r="F10" s="13">
        <f>SUM(F2:F9)</f>
        <v>3640934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PMNA Staff</vt:lpstr>
      <vt:lpstr>Weekly Target</vt:lpstr>
      <vt:lpstr>Sheet3</vt:lpstr>
      <vt:lpstr>NOV 2025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brynex</dc:creator>
  <cp:lastModifiedBy>Subin Sudhakaran P</cp:lastModifiedBy>
  <dcterms:created xsi:type="dcterms:W3CDTF">2025-07-21T09:59:32Z</dcterms:created>
  <dcterms:modified xsi:type="dcterms:W3CDTF">2025-11-27T05:16:34Z</dcterms:modified>
</cp:coreProperties>
</file>