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ynex\Desktop\Sale loss analysis\"/>
    </mc:Choice>
  </mc:AlternateContent>
  <xr:revisionPtr revIDLastSave="0" documentId="13_ncr:1_{1F744409-6E90-49AD-B0EF-CD5CDECA0DC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ff wise" sheetId="3" r:id="rId1"/>
    <sheet name="Reason" sheetId="5" r:id="rId2"/>
    <sheet name="DATA" sheetId="1" r:id="rId3"/>
    <sheet name="Action Points" sheetId="7" r:id="rId4"/>
  </sheets>
  <definedNames>
    <definedName name="_xlnm._FilterDatabase" localSheetId="2" hidden="1">DATA!$A$1:$K$58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2" i="5"/>
  <c r="F3" i="3"/>
  <c r="F4" i="3"/>
  <c r="F5" i="3"/>
  <c r="F6" i="3"/>
  <c r="F7" i="3"/>
  <c r="F2" i="3"/>
  <c r="E3" i="3"/>
  <c r="E4" i="3"/>
  <c r="E5" i="3"/>
  <c r="E6" i="3"/>
  <c r="E7" i="3"/>
  <c r="E2" i="3"/>
  <c r="D3" i="3"/>
  <c r="D4" i="3"/>
  <c r="D5" i="3"/>
  <c r="D6" i="3"/>
  <c r="D7" i="3"/>
  <c r="D2" i="3"/>
  <c r="C7" i="3"/>
  <c r="B7" i="3"/>
</calcChain>
</file>

<file path=xl/sharedStrings.xml><?xml version="1.0" encoding="utf-8"?>
<sst xmlns="http://schemas.openxmlformats.org/spreadsheetml/2006/main" count="557" uniqueCount="180">
  <si>
    <t>#</t>
  </si>
  <si>
    <t>Date</t>
  </si>
  <si>
    <t>Customer Name</t>
  </si>
  <si>
    <t>Contact</t>
  </si>
  <si>
    <t>Function Date</t>
  </si>
  <si>
    <t>Staff</t>
  </si>
  <si>
    <t>Status</t>
  </si>
  <si>
    <t>Category</t>
  </si>
  <si>
    <t>Sub Category</t>
  </si>
  <si>
    <t>Repeat count</t>
  </si>
  <si>
    <t>Remarks</t>
  </si>
  <si>
    <t>01-10-2025</t>
  </si>
  <si>
    <t>Hasib</t>
  </si>
  <si>
    <t>05-10-2025</t>
  </si>
  <si>
    <t>SAJITH K</t>
  </si>
  <si>
    <t>Loss</t>
  </si>
  <si>
    <t>PRODUCT</t>
  </si>
  <si>
    <t>PRODUCT NOT AVAILABLE</t>
  </si>
  <si>
    <t>-</t>
  </si>
  <si>
    <t>Armani cloth kurtha not available</t>
  </si>
  <si>
    <t>ARAVIND</t>
  </si>
  <si>
    <t>08-11-2025</t>
  </si>
  <si>
    <t>AKASH VK</t>
  </si>
  <si>
    <t>PRICING</t>
  </si>
  <si>
    <t>RENT TO HIGH</t>
  </si>
  <si>
    <t>02-10-2025</t>
  </si>
  <si>
    <t>rouf</t>
  </si>
  <si>
    <t>16-11-2025</t>
  </si>
  <si>
    <t>SHIBIN RAJ KK</t>
  </si>
  <si>
    <t>product not available</t>
  </si>
  <si>
    <t>amar</t>
  </si>
  <si>
    <t>12-10-2025</t>
  </si>
  <si>
    <t>ENQUIRY</t>
  </si>
  <si>
    <t>Enquiry for Relative/Friend</t>
  </si>
  <si>
    <t>just enquiry</t>
  </si>
  <si>
    <t>03-10-2025</t>
  </si>
  <si>
    <t>RAOF</t>
  </si>
  <si>
    <t>07-10-2025</t>
  </si>
  <si>
    <t>REQUIRED MODEL NOT AVAILABLE</t>
  </si>
  <si>
    <t>WILL COME SOON</t>
  </si>
  <si>
    <t>ASLAM</t>
  </si>
  <si>
    <t>22-10-2025</t>
  </si>
  <si>
    <t>ENQUIRY WITHOUT BRIDE/FAMILY</t>
  </si>
  <si>
    <t>TRAIL</t>
  </si>
  <si>
    <t>Rayis</t>
  </si>
  <si>
    <t>Enquiry for friend</t>
  </si>
  <si>
    <t>fayis</t>
  </si>
  <si>
    <t>ENQUIRY WITHOUT TRIAL</t>
  </si>
  <si>
    <t>Enquiry without Trial</t>
  </si>
  <si>
    <t>SHAKIR</t>
  </si>
  <si>
    <t>04-10-2025</t>
  </si>
  <si>
    <t>Product Already Booked</t>
  </si>
  <si>
    <t>PRODUCT ALREADY BOOKED</t>
  </si>
  <si>
    <t>Jawhar</t>
  </si>
  <si>
    <t>08-10-2025</t>
  </si>
  <si>
    <t>will coming soon</t>
  </si>
  <si>
    <t>Niyas</t>
  </si>
  <si>
    <t>Enquiry without trial</t>
  </si>
  <si>
    <t>suveesh</t>
  </si>
  <si>
    <t>11-10-2025</t>
  </si>
  <si>
    <t>ENQUIRY FOR FRIEND</t>
  </si>
  <si>
    <t>SHIBIL</t>
  </si>
  <si>
    <t>SREEJITH K</t>
  </si>
  <si>
    <t>OTHER CUSTOMER BOOKED</t>
  </si>
  <si>
    <t>06-10-2025</t>
  </si>
  <si>
    <t>Yasin</t>
  </si>
  <si>
    <t>will coming</t>
  </si>
  <si>
    <t>shakel</t>
  </si>
  <si>
    <t>JUST ENQUIRY</t>
  </si>
  <si>
    <t>REQUIRED DESIGN NOT AVAILABLE</t>
  </si>
  <si>
    <t>loss</t>
  </si>
  <si>
    <t>09-10-2025</t>
  </si>
  <si>
    <t>Anshif</t>
  </si>
  <si>
    <t>ANAS</t>
  </si>
  <si>
    <t>Enquiry for brother</t>
  </si>
  <si>
    <t>10-10-2025</t>
  </si>
  <si>
    <t>DIBER</t>
  </si>
  <si>
    <t>27-11-2025</t>
  </si>
  <si>
    <t>HE NEED CUMMER BAND  AND DIFFRENT COMBINATION</t>
  </si>
  <si>
    <t>varghese</t>
  </si>
  <si>
    <t>24-01-2026</t>
  </si>
  <si>
    <t>enquiry function january</t>
  </si>
  <si>
    <t>Siraj</t>
  </si>
  <si>
    <t>19-10-2025</t>
  </si>
  <si>
    <t>will come</t>
  </si>
  <si>
    <t>Anas</t>
  </si>
  <si>
    <t>enquiry</t>
  </si>
  <si>
    <t>farhan</t>
  </si>
  <si>
    <t>21-10-2025</t>
  </si>
  <si>
    <t>babypink kurtha not available</t>
  </si>
  <si>
    <t>boni</t>
  </si>
  <si>
    <t>Enquiry will be back soon</t>
  </si>
  <si>
    <t>13-10-2025</t>
  </si>
  <si>
    <t>Midlaj</t>
  </si>
  <si>
    <t>28-12-2025</t>
  </si>
  <si>
    <t>will come back</t>
  </si>
  <si>
    <t>Arif</t>
  </si>
  <si>
    <t>23-11-2025</t>
  </si>
  <si>
    <t>white bangala Another option not available with trial.</t>
  </si>
  <si>
    <t>14-10-2025</t>
  </si>
  <si>
    <t>shameem</t>
  </si>
  <si>
    <t>14-11-2025</t>
  </si>
  <si>
    <t>15-10-2025</t>
  </si>
  <si>
    <t>safihullah</t>
  </si>
  <si>
    <t>sarfras</t>
  </si>
  <si>
    <t>20-10-2025</t>
  </si>
  <si>
    <t>MODEL NOT AVAILABLE   ONLY HAND WORK SUIT</t>
  </si>
  <si>
    <t>Abdul ali</t>
  </si>
  <si>
    <t>26-10-2025</t>
  </si>
  <si>
    <t>farshad</t>
  </si>
  <si>
    <t>02-11-2025</t>
  </si>
  <si>
    <t>NEED PLAIN WHITE SUIT AND BAGGY TYPE PANT</t>
  </si>
  <si>
    <t>16-10-2025</t>
  </si>
  <si>
    <t>ASHIQUE</t>
  </si>
  <si>
    <t>price issue</t>
  </si>
  <si>
    <t>Nabhan</t>
  </si>
  <si>
    <t>fayas</t>
  </si>
  <si>
    <t>19-11-2025</t>
  </si>
  <si>
    <t>18-10-2025</t>
  </si>
  <si>
    <t>abhijith</t>
  </si>
  <si>
    <t>will conform tomorrow</t>
  </si>
  <si>
    <t>vasim</t>
  </si>
  <si>
    <t>09-11-2025</t>
  </si>
  <si>
    <t>bridal dress, not conform we will come back</t>
  </si>
  <si>
    <t>suobir</t>
  </si>
  <si>
    <t>SIZE NOT SUITABLE</t>
  </si>
  <si>
    <t>SIZE TOO LARGE</t>
  </si>
  <si>
    <t>midhilaj</t>
  </si>
  <si>
    <t>24-12-2025</t>
  </si>
  <si>
    <t>mubeen</t>
  </si>
  <si>
    <t>01-11-2025</t>
  </si>
  <si>
    <t>Indo western prem. product okay  Price to high</t>
  </si>
  <si>
    <t>Sharoque</t>
  </si>
  <si>
    <t>REFER TO PERINTHALMANNA</t>
  </si>
  <si>
    <t>nisam</t>
  </si>
  <si>
    <t>athik</t>
  </si>
  <si>
    <t>20-12-2025</t>
  </si>
  <si>
    <t>Armani cloth not available</t>
  </si>
  <si>
    <t>Fayas</t>
  </si>
  <si>
    <t>22-11-2025</t>
  </si>
  <si>
    <t>ajin shad</t>
  </si>
  <si>
    <t>Abdul Hadi Rafeeque</t>
  </si>
  <si>
    <t>basim</t>
  </si>
  <si>
    <t>13-12-2025</t>
  </si>
  <si>
    <t>muthaar</t>
  </si>
  <si>
    <t>need work kurtha</t>
  </si>
  <si>
    <t>23-10-2025</t>
  </si>
  <si>
    <t>shihab</t>
  </si>
  <si>
    <t>46 size is not available</t>
  </si>
  <si>
    <t>shaheer</t>
  </si>
  <si>
    <t>shafeeq</t>
  </si>
  <si>
    <t>24-10-2025</t>
  </si>
  <si>
    <t>najmudeen</t>
  </si>
  <si>
    <t>Ashiq</t>
  </si>
  <si>
    <t>abdul haq</t>
  </si>
  <si>
    <t>hashim</t>
  </si>
  <si>
    <t>BLACK BANGALA SIZE IS NOT AVAILABLE AT THE DATE</t>
  </si>
  <si>
    <t>ATHUL</t>
  </si>
  <si>
    <t>12-01-2026</t>
  </si>
  <si>
    <t>THEY HAVE TO DISCUS  WITH THERE FAMLY AND THEN WILL INFORM</t>
  </si>
  <si>
    <t>roshan</t>
  </si>
  <si>
    <t>25-12-2025</t>
  </si>
  <si>
    <t>ENQUIRY FOR BROTHER WHICH THE GROOM IS IN ABROAD</t>
  </si>
  <si>
    <t>27-10-2025</t>
  </si>
  <si>
    <t>nisar</t>
  </si>
  <si>
    <t>just a trail coustomer need time to decide</t>
  </si>
  <si>
    <t>Total</t>
  </si>
  <si>
    <t>Bills</t>
  </si>
  <si>
    <t>attended</t>
  </si>
  <si>
    <t>Conversion</t>
  </si>
  <si>
    <t>Loss%</t>
  </si>
  <si>
    <t>Reason</t>
  </si>
  <si>
    <t>TOTAL</t>
  </si>
  <si>
    <t>NO</t>
  </si>
  <si>
    <t>ACTION</t>
  </si>
  <si>
    <t>Subeesh is not used to working with loss of sale report, will train him in analyzing this.</t>
  </si>
  <si>
    <t>As data shows 70% sale loss is because of enquiry, will make SM call back each sale loss customer.</t>
  </si>
  <si>
    <t>Hadi, Sajith and Shibin sale loss is above the cluster average will identify the gap and rectify.</t>
  </si>
  <si>
    <t>14% sale loss because of product availablity, will identify the product gap and raise to Riyas Sir.</t>
  </si>
  <si>
    <t>Store is not entering sale loss reason in an understandable manner, will give training to Subeesh and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</si>
</sst>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1" fontId="0" fillId="0" borderId="0" xfId="0" applyNumberFormat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0" fillId="2" borderId="1" xfId="0" applyFill="1" applyBorder="1"/>
    <xf numFmtId="9" fontId="0" fillId="2" borderId="1" xfId="1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9" fontId="0" fillId="0" borderId="1" xfId="1" applyFont="1" applyBorder="1"/>
    <xf numFmtId="0" fontId="0" fillId="3" borderId="1" xfId="0" applyFill="1" applyBorder="1" applyAlignment="1">
      <alignment horizontal="left"/>
    </xf>
    <xf numFmtId="0" fontId="0" fillId="3" borderId="1" xfId="0" applyNumberFormat="1" applyFill="1" applyBorder="1"/>
    <xf numFmtId="0" fontId="0" fillId="3" borderId="1" xfId="0" applyFill="1" applyBorder="1"/>
    <xf numFmtId="9" fontId="0" fillId="3" borderId="1" xfId="1" applyFont="1" applyFill="1" applyBorder="1"/>
    <xf numFmtId="0" fontId="0" fillId="0" borderId="1" xfId="0" applyBorder="1" applyAlignment="1">
      <alignment horizontal="left" indent="1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NumberFormat="1" applyFont="1" applyFill="1" applyBorder="1"/>
    <xf numFmtId="9" fontId="0" fillId="5" borderId="1" xfId="1" applyFont="1" applyFill="1" applyBorder="1"/>
    <xf numFmtId="0" fontId="0" fillId="3" borderId="1" xfId="0" applyFill="1" applyBorder="1" applyAlignment="1">
      <alignment horizontal="left" indent="1"/>
    </xf>
    <xf numFmtId="0" fontId="2" fillId="6" borderId="1" xfId="0" applyFont="1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B077-BF22-48F3-B7E5-968B9175E873}">
  <dimension ref="A1:F7"/>
  <sheetViews>
    <sheetView workbookViewId="0">
      <selection activeCell="C25" sqref="C25"/>
    </sheetView>
  </sheetViews>
  <sheetFormatPr defaultRowHeight="14.4" x14ac:dyDescent="0.3"/>
  <cols>
    <col min="1" max="1" width="18.109375" bestFit="1" customWidth="1"/>
    <col min="5" max="5" width="10.109375" bestFit="1" customWidth="1"/>
  </cols>
  <sheetData>
    <row r="1" spans="1:6" x14ac:dyDescent="0.3">
      <c r="A1" s="3" t="s">
        <v>5</v>
      </c>
      <c r="B1" s="3" t="s">
        <v>15</v>
      </c>
      <c r="C1" s="3" t="s">
        <v>167</v>
      </c>
      <c r="D1" s="3" t="s">
        <v>168</v>
      </c>
      <c r="E1" s="3" t="s">
        <v>169</v>
      </c>
      <c r="F1" s="3" t="s">
        <v>170</v>
      </c>
    </row>
    <row r="2" spans="1:6" x14ac:dyDescent="0.3">
      <c r="A2" s="4" t="s">
        <v>141</v>
      </c>
      <c r="B2" s="5">
        <v>8</v>
      </c>
      <c r="C2" s="6">
        <v>2</v>
      </c>
      <c r="D2" s="6">
        <f>SUM(B2:C2)</f>
        <v>10</v>
      </c>
      <c r="E2" s="7">
        <f>C2/D2</f>
        <v>0.2</v>
      </c>
      <c r="F2" s="7">
        <f>B2/D2</f>
        <v>0.8</v>
      </c>
    </row>
    <row r="3" spans="1:6" x14ac:dyDescent="0.3">
      <c r="A3" s="8" t="s">
        <v>22</v>
      </c>
      <c r="B3" s="9">
        <v>11</v>
      </c>
      <c r="C3" s="3">
        <v>16</v>
      </c>
      <c r="D3" s="3">
        <f t="shared" ref="D3:D7" si="0">SUM(B3:C3)</f>
        <v>27</v>
      </c>
      <c r="E3" s="10">
        <f t="shared" ref="E3:E7" si="1">C3/D3</f>
        <v>0.59259259259259256</v>
      </c>
      <c r="F3" s="10">
        <f t="shared" ref="F3:F7" si="2">B3/D3</f>
        <v>0.40740740740740738</v>
      </c>
    </row>
    <row r="4" spans="1:6" x14ac:dyDescent="0.3">
      <c r="A4" s="4" t="s">
        <v>14</v>
      </c>
      <c r="B4" s="5">
        <v>16</v>
      </c>
      <c r="C4" s="6">
        <v>15</v>
      </c>
      <c r="D4" s="6">
        <f t="shared" si="0"/>
        <v>31</v>
      </c>
      <c r="E4" s="7">
        <f t="shared" si="1"/>
        <v>0.4838709677419355</v>
      </c>
      <c r="F4" s="7">
        <f t="shared" si="2"/>
        <v>0.5161290322580645</v>
      </c>
    </row>
    <row r="5" spans="1:6" x14ac:dyDescent="0.3">
      <c r="A5" s="4" t="s">
        <v>28</v>
      </c>
      <c r="B5" s="5">
        <v>11</v>
      </c>
      <c r="C5" s="6">
        <v>8</v>
      </c>
      <c r="D5" s="6">
        <f t="shared" si="0"/>
        <v>19</v>
      </c>
      <c r="E5" s="7">
        <f t="shared" si="1"/>
        <v>0.42105263157894735</v>
      </c>
      <c r="F5" s="7">
        <f t="shared" si="2"/>
        <v>0.57894736842105265</v>
      </c>
    </row>
    <row r="6" spans="1:6" x14ac:dyDescent="0.3">
      <c r="A6" s="8" t="s">
        <v>62</v>
      </c>
      <c r="B6" s="9">
        <v>11</v>
      </c>
      <c r="C6" s="3">
        <v>13</v>
      </c>
      <c r="D6" s="3">
        <f t="shared" si="0"/>
        <v>24</v>
      </c>
      <c r="E6" s="10">
        <f t="shared" si="1"/>
        <v>0.54166666666666663</v>
      </c>
      <c r="F6" s="10">
        <f t="shared" si="2"/>
        <v>0.45833333333333331</v>
      </c>
    </row>
    <row r="7" spans="1:6" x14ac:dyDescent="0.3">
      <c r="A7" s="11" t="s">
        <v>166</v>
      </c>
      <c r="B7" s="12">
        <f>SUM(B2:B6)</f>
        <v>57</v>
      </c>
      <c r="C7" s="13">
        <f>SUM(C2:C6)</f>
        <v>54</v>
      </c>
      <c r="D7" s="13">
        <f t="shared" si="0"/>
        <v>111</v>
      </c>
      <c r="E7" s="14">
        <f t="shared" si="1"/>
        <v>0.48648648648648651</v>
      </c>
      <c r="F7" s="14">
        <f t="shared" si="2"/>
        <v>0.51351351351351349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977D-0A8E-4E48-BDEE-8F99194B7D17}">
  <dimension ref="A1:C15"/>
  <sheetViews>
    <sheetView workbookViewId="0">
      <selection activeCell="B25" sqref="B25"/>
    </sheetView>
  </sheetViews>
  <sheetFormatPr defaultRowHeight="14.4" x14ac:dyDescent="0.3"/>
  <cols>
    <col min="1" max="1" width="31.6640625" bestFit="1" customWidth="1"/>
  </cols>
  <sheetData>
    <row r="1" spans="1:3" x14ac:dyDescent="0.3">
      <c r="A1" s="16" t="s">
        <v>171</v>
      </c>
      <c r="B1" s="16" t="s">
        <v>15</v>
      </c>
      <c r="C1" s="16" t="s">
        <v>170</v>
      </c>
    </row>
    <row r="2" spans="1:3" x14ac:dyDescent="0.3">
      <c r="A2" s="17" t="s">
        <v>32</v>
      </c>
      <c r="B2" s="18">
        <v>40</v>
      </c>
      <c r="C2" s="19">
        <f>B2/$B$15</f>
        <v>0.70175438596491224</v>
      </c>
    </row>
    <row r="3" spans="1:3" x14ac:dyDescent="0.3">
      <c r="A3" s="15" t="s">
        <v>33</v>
      </c>
      <c r="B3" s="9">
        <v>24</v>
      </c>
      <c r="C3" s="10">
        <f t="shared" ref="C3:C14" si="0">B3/$B$15</f>
        <v>0.42105263157894735</v>
      </c>
    </row>
    <row r="4" spans="1:3" x14ac:dyDescent="0.3">
      <c r="A4" s="15" t="s">
        <v>42</v>
      </c>
      <c r="B4" s="9">
        <v>9</v>
      </c>
      <c r="C4" s="10">
        <f t="shared" si="0"/>
        <v>0.15789473684210525</v>
      </c>
    </row>
    <row r="5" spans="1:3" x14ac:dyDescent="0.3">
      <c r="A5" s="15" t="s">
        <v>47</v>
      </c>
      <c r="B5" s="9">
        <v>7</v>
      </c>
      <c r="C5" s="10">
        <f t="shared" si="0"/>
        <v>0.12280701754385964</v>
      </c>
    </row>
    <row r="6" spans="1:3" x14ac:dyDescent="0.3">
      <c r="A6" s="17" t="s">
        <v>23</v>
      </c>
      <c r="B6" s="18">
        <v>2</v>
      </c>
      <c r="C6" s="19">
        <f t="shared" si="0"/>
        <v>3.5087719298245612E-2</v>
      </c>
    </row>
    <row r="7" spans="1:3" x14ac:dyDescent="0.3">
      <c r="A7" s="15" t="s">
        <v>24</v>
      </c>
      <c r="B7" s="9">
        <v>2</v>
      </c>
      <c r="C7" s="10">
        <f t="shared" si="0"/>
        <v>3.5087719298245612E-2</v>
      </c>
    </row>
    <row r="8" spans="1:3" x14ac:dyDescent="0.3">
      <c r="A8" s="17" t="s">
        <v>16</v>
      </c>
      <c r="B8" s="18">
        <v>14</v>
      </c>
      <c r="C8" s="19">
        <f t="shared" si="0"/>
        <v>0.24561403508771928</v>
      </c>
    </row>
    <row r="9" spans="1:3" x14ac:dyDescent="0.3">
      <c r="A9" s="15" t="s">
        <v>51</v>
      </c>
      <c r="B9" s="9">
        <v>3</v>
      </c>
      <c r="C9" s="10">
        <f t="shared" si="0"/>
        <v>5.2631578947368418E-2</v>
      </c>
    </row>
    <row r="10" spans="1:3" x14ac:dyDescent="0.3">
      <c r="A10" s="15" t="s">
        <v>17</v>
      </c>
      <c r="B10" s="9">
        <v>6</v>
      </c>
      <c r="C10" s="10">
        <f t="shared" si="0"/>
        <v>0.10526315789473684</v>
      </c>
    </row>
    <row r="11" spans="1:3" x14ac:dyDescent="0.3">
      <c r="A11" s="15" t="s">
        <v>69</v>
      </c>
      <c r="B11" s="9">
        <v>1</v>
      </c>
      <c r="C11" s="10">
        <f t="shared" si="0"/>
        <v>1.7543859649122806E-2</v>
      </c>
    </row>
    <row r="12" spans="1:3" x14ac:dyDescent="0.3">
      <c r="A12" s="15" t="s">
        <v>38</v>
      </c>
      <c r="B12" s="9">
        <v>4</v>
      </c>
      <c r="C12" s="10">
        <f t="shared" si="0"/>
        <v>7.0175438596491224E-2</v>
      </c>
    </row>
    <row r="13" spans="1:3" x14ac:dyDescent="0.3">
      <c r="A13" s="17" t="s">
        <v>125</v>
      </c>
      <c r="B13" s="18">
        <v>1</v>
      </c>
      <c r="C13" s="19">
        <f t="shared" si="0"/>
        <v>1.7543859649122806E-2</v>
      </c>
    </row>
    <row r="14" spans="1:3" x14ac:dyDescent="0.3">
      <c r="A14" s="15" t="s">
        <v>126</v>
      </c>
      <c r="B14" s="9">
        <v>1</v>
      </c>
      <c r="C14" s="10">
        <f t="shared" si="0"/>
        <v>1.7543859649122806E-2</v>
      </c>
    </row>
    <row r="15" spans="1:3" x14ac:dyDescent="0.3">
      <c r="A15" s="20" t="s">
        <v>172</v>
      </c>
      <c r="B15" s="12">
        <v>57</v>
      </c>
      <c r="C1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8"/>
  <sheetViews>
    <sheetView topLeftCell="D1" workbookViewId="0">
      <selection activeCell="K55" sqref="K55"/>
    </sheetView>
  </sheetViews>
  <sheetFormatPr defaultRowHeight="14.4" x14ac:dyDescent="0.3"/>
  <cols>
    <col min="1" max="1" width="6" customWidth="1"/>
    <col min="2" max="2" width="13.44140625" customWidth="1"/>
    <col min="3" max="3" width="17.5546875" customWidth="1"/>
    <col min="4" max="4" width="13.44140625" customWidth="1"/>
    <col min="5" max="5" width="17.5546875" customWidth="1"/>
    <col min="6" max="6" width="25.6640625" customWidth="1"/>
    <col min="7" max="7" width="8.109375" customWidth="1"/>
    <col min="8" max="8" width="23" customWidth="1"/>
    <col min="9" max="9" width="39.109375" customWidth="1"/>
    <col min="10" max="10" width="16.21875" customWidth="1"/>
    <col min="11" max="11" width="5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t="s">
        <v>11</v>
      </c>
      <c r="C2" t="s">
        <v>12</v>
      </c>
      <c r="D2" s="2">
        <v>9947205180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hidden="1" x14ac:dyDescent="0.3">
      <c r="A3" s="2">
        <v>2</v>
      </c>
      <c r="B3" t="s">
        <v>11</v>
      </c>
      <c r="C3" t="s">
        <v>20</v>
      </c>
      <c r="D3" s="2">
        <v>9745908254</v>
      </c>
      <c r="E3" t="s">
        <v>21</v>
      </c>
      <c r="F3" t="s">
        <v>22</v>
      </c>
      <c r="G3" t="s">
        <v>15</v>
      </c>
      <c r="H3" t="s">
        <v>23</v>
      </c>
      <c r="I3" t="s">
        <v>24</v>
      </c>
      <c r="J3" t="s">
        <v>18</v>
      </c>
    </row>
    <row r="4" spans="1:11" x14ac:dyDescent="0.3">
      <c r="A4" s="2">
        <v>3</v>
      </c>
      <c r="B4" t="s">
        <v>25</v>
      </c>
      <c r="C4" t="s">
        <v>26</v>
      </c>
      <c r="D4" s="2">
        <v>8848608580</v>
      </c>
      <c r="E4" t="s">
        <v>27</v>
      </c>
      <c r="F4" t="s">
        <v>28</v>
      </c>
      <c r="G4" t="s">
        <v>15</v>
      </c>
      <c r="H4" t="s">
        <v>16</v>
      </c>
      <c r="I4" t="s">
        <v>17</v>
      </c>
      <c r="J4" t="s">
        <v>18</v>
      </c>
      <c r="K4" t="s">
        <v>29</v>
      </c>
    </row>
    <row r="5" spans="1:11" hidden="1" x14ac:dyDescent="0.3">
      <c r="A5" s="2">
        <v>4</v>
      </c>
      <c r="B5" t="s">
        <v>25</v>
      </c>
      <c r="C5" t="s">
        <v>30</v>
      </c>
      <c r="D5" s="2">
        <v>9033520023</v>
      </c>
      <c r="E5" t="s">
        <v>31</v>
      </c>
      <c r="F5" t="s">
        <v>14</v>
      </c>
      <c r="G5" t="s">
        <v>15</v>
      </c>
      <c r="H5" t="s">
        <v>32</v>
      </c>
      <c r="I5" t="s">
        <v>33</v>
      </c>
      <c r="J5" t="s">
        <v>18</v>
      </c>
      <c r="K5" t="s">
        <v>34</v>
      </c>
    </row>
    <row r="6" spans="1:11" x14ac:dyDescent="0.3">
      <c r="A6" s="2">
        <v>5</v>
      </c>
      <c r="B6" t="s">
        <v>35</v>
      </c>
      <c r="C6" t="s">
        <v>36</v>
      </c>
      <c r="D6" s="2">
        <v>9745942789</v>
      </c>
      <c r="E6" t="s">
        <v>37</v>
      </c>
      <c r="F6" t="s">
        <v>28</v>
      </c>
      <c r="G6" t="s">
        <v>15</v>
      </c>
      <c r="H6" t="s">
        <v>16</v>
      </c>
      <c r="I6" t="s">
        <v>38</v>
      </c>
      <c r="J6" t="s">
        <v>18</v>
      </c>
      <c r="K6" t="s">
        <v>39</v>
      </c>
    </row>
    <row r="7" spans="1:11" hidden="1" x14ac:dyDescent="0.3">
      <c r="A7" s="2">
        <v>6</v>
      </c>
      <c r="B7" t="s">
        <v>35</v>
      </c>
      <c r="C7" t="s">
        <v>40</v>
      </c>
      <c r="D7" s="2">
        <v>7592026886</v>
      </c>
      <c r="E7" t="s">
        <v>41</v>
      </c>
      <c r="F7" t="s">
        <v>14</v>
      </c>
      <c r="G7" t="s">
        <v>15</v>
      </c>
      <c r="H7" t="s">
        <v>32</v>
      </c>
      <c r="I7" t="s">
        <v>42</v>
      </c>
      <c r="J7" t="s">
        <v>18</v>
      </c>
      <c r="K7" t="s">
        <v>43</v>
      </c>
    </row>
    <row r="8" spans="1:11" hidden="1" x14ac:dyDescent="0.3">
      <c r="A8" s="2">
        <v>7</v>
      </c>
      <c r="B8" t="s">
        <v>35</v>
      </c>
      <c r="C8" t="s">
        <v>44</v>
      </c>
      <c r="D8" s="2">
        <v>8547903680</v>
      </c>
      <c r="E8" t="s">
        <v>31</v>
      </c>
      <c r="F8" t="s">
        <v>14</v>
      </c>
      <c r="G8" t="s">
        <v>15</v>
      </c>
      <c r="H8" t="s">
        <v>32</v>
      </c>
      <c r="I8" t="s">
        <v>33</v>
      </c>
      <c r="J8" t="s">
        <v>18</v>
      </c>
      <c r="K8" t="s">
        <v>45</v>
      </c>
    </row>
    <row r="9" spans="1:11" hidden="1" x14ac:dyDescent="0.3">
      <c r="A9" s="2">
        <v>8</v>
      </c>
      <c r="B9" t="s">
        <v>35</v>
      </c>
      <c r="C9" t="s">
        <v>46</v>
      </c>
      <c r="D9" s="2">
        <v>9544692917</v>
      </c>
      <c r="E9" t="s">
        <v>13</v>
      </c>
      <c r="F9" t="s">
        <v>14</v>
      </c>
      <c r="G9" t="s">
        <v>15</v>
      </c>
      <c r="H9" t="s">
        <v>32</v>
      </c>
      <c r="I9" t="s">
        <v>47</v>
      </c>
      <c r="J9" t="s">
        <v>18</v>
      </c>
      <c r="K9" t="s">
        <v>48</v>
      </c>
    </row>
    <row r="10" spans="1:11" x14ac:dyDescent="0.3">
      <c r="A10" s="2">
        <v>9</v>
      </c>
      <c r="B10" t="s">
        <v>35</v>
      </c>
      <c r="C10" t="s">
        <v>49</v>
      </c>
      <c r="D10" s="2">
        <v>9074758362</v>
      </c>
      <c r="E10" t="s">
        <v>50</v>
      </c>
      <c r="F10" t="s">
        <v>22</v>
      </c>
      <c r="G10" t="s">
        <v>15</v>
      </c>
      <c r="H10" t="s">
        <v>16</v>
      </c>
      <c r="I10" t="s">
        <v>51</v>
      </c>
      <c r="J10" t="s">
        <v>18</v>
      </c>
      <c r="K10" t="s">
        <v>52</v>
      </c>
    </row>
    <row r="11" spans="1:11" hidden="1" x14ac:dyDescent="0.3">
      <c r="A11" s="2">
        <v>10</v>
      </c>
      <c r="B11" t="s">
        <v>50</v>
      </c>
      <c r="C11" t="s">
        <v>53</v>
      </c>
      <c r="D11" s="2">
        <v>9496429336</v>
      </c>
      <c r="E11" t="s">
        <v>54</v>
      </c>
      <c r="F11" t="s">
        <v>28</v>
      </c>
      <c r="G11" t="s">
        <v>15</v>
      </c>
      <c r="H11" t="s">
        <v>32</v>
      </c>
      <c r="I11" t="s">
        <v>33</v>
      </c>
      <c r="J11" t="s">
        <v>18</v>
      </c>
      <c r="K11" t="s">
        <v>55</v>
      </c>
    </row>
    <row r="12" spans="1:11" hidden="1" x14ac:dyDescent="0.3">
      <c r="A12" s="2">
        <v>11</v>
      </c>
      <c r="B12" t="s">
        <v>50</v>
      </c>
      <c r="C12" t="s">
        <v>56</v>
      </c>
      <c r="D12" s="2">
        <v>8943240060</v>
      </c>
      <c r="E12" t="s">
        <v>31</v>
      </c>
      <c r="F12" t="s">
        <v>14</v>
      </c>
      <c r="G12" t="s">
        <v>15</v>
      </c>
      <c r="H12" t="s">
        <v>32</v>
      </c>
      <c r="I12" t="s">
        <v>47</v>
      </c>
      <c r="J12" t="s">
        <v>18</v>
      </c>
      <c r="K12" t="s">
        <v>57</v>
      </c>
    </row>
    <row r="13" spans="1:11" hidden="1" x14ac:dyDescent="0.3">
      <c r="A13" s="2">
        <v>12</v>
      </c>
      <c r="B13" t="s">
        <v>13</v>
      </c>
      <c r="C13" t="s">
        <v>58</v>
      </c>
      <c r="D13" s="2">
        <v>7736255650</v>
      </c>
      <c r="E13" t="s">
        <v>59</v>
      </c>
      <c r="F13" t="s">
        <v>22</v>
      </c>
      <c r="G13" t="s">
        <v>15</v>
      </c>
      <c r="H13" t="s">
        <v>32</v>
      </c>
      <c r="I13" t="s">
        <v>33</v>
      </c>
      <c r="J13" t="s">
        <v>18</v>
      </c>
      <c r="K13" t="s">
        <v>60</v>
      </c>
    </row>
    <row r="14" spans="1:11" x14ac:dyDescent="0.3">
      <c r="A14" s="2">
        <v>13</v>
      </c>
      <c r="B14" t="s">
        <v>13</v>
      </c>
      <c r="C14" t="s">
        <v>61</v>
      </c>
      <c r="D14" s="2">
        <v>9539835691</v>
      </c>
      <c r="E14" t="s">
        <v>59</v>
      </c>
      <c r="F14" t="s">
        <v>62</v>
      </c>
      <c r="G14" t="s">
        <v>15</v>
      </c>
      <c r="H14" t="s">
        <v>16</v>
      </c>
      <c r="I14" t="s">
        <v>51</v>
      </c>
      <c r="J14" t="s">
        <v>18</v>
      </c>
      <c r="K14" t="s">
        <v>63</v>
      </c>
    </row>
    <row r="15" spans="1:11" hidden="1" x14ac:dyDescent="0.3">
      <c r="A15" s="2">
        <v>14</v>
      </c>
      <c r="B15" t="s">
        <v>64</v>
      </c>
      <c r="C15" t="s">
        <v>65</v>
      </c>
      <c r="D15" s="2">
        <v>7025835521</v>
      </c>
      <c r="E15" t="s">
        <v>59</v>
      </c>
      <c r="F15" t="s">
        <v>28</v>
      </c>
      <c r="G15" t="s">
        <v>15</v>
      </c>
      <c r="H15" t="s">
        <v>32</v>
      </c>
      <c r="I15" t="s">
        <v>33</v>
      </c>
      <c r="J15" t="s">
        <v>18</v>
      </c>
      <c r="K15" t="s">
        <v>66</v>
      </c>
    </row>
    <row r="16" spans="1:11" hidden="1" x14ac:dyDescent="0.3">
      <c r="A16" s="2">
        <v>15</v>
      </c>
      <c r="B16" t="s">
        <v>64</v>
      </c>
      <c r="C16" t="s">
        <v>67</v>
      </c>
      <c r="D16" s="2">
        <v>7306363372</v>
      </c>
      <c r="E16" t="s">
        <v>54</v>
      </c>
      <c r="F16" t="s">
        <v>62</v>
      </c>
      <c r="G16" t="s">
        <v>15</v>
      </c>
      <c r="H16" t="s">
        <v>32</v>
      </c>
      <c r="I16" t="s">
        <v>42</v>
      </c>
      <c r="J16" t="s">
        <v>18</v>
      </c>
      <c r="K16" t="s">
        <v>68</v>
      </c>
    </row>
    <row r="17" spans="1:11" x14ac:dyDescent="0.3">
      <c r="A17" s="2">
        <v>16</v>
      </c>
      <c r="B17" t="s">
        <v>37</v>
      </c>
      <c r="C17" t="s">
        <v>40</v>
      </c>
      <c r="D17" s="2">
        <v>8714433984</v>
      </c>
      <c r="E17" t="s">
        <v>59</v>
      </c>
      <c r="F17" t="s">
        <v>22</v>
      </c>
      <c r="G17" t="s">
        <v>15</v>
      </c>
      <c r="H17" t="s">
        <v>16</v>
      </c>
      <c r="I17" t="s">
        <v>69</v>
      </c>
      <c r="J17" t="s">
        <v>18</v>
      </c>
      <c r="K17" t="s">
        <v>70</v>
      </c>
    </row>
    <row r="18" spans="1:11" hidden="1" x14ac:dyDescent="0.3">
      <c r="A18" s="2">
        <v>17</v>
      </c>
      <c r="B18" t="s">
        <v>71</v>
      </c>
      <c r="C18" t="s">
        <v>72</v>
      </c>
      <c r="D18" s="2">
        <v>7558013006</v>
      </c>
      <c r="E18" t="s">
        <v>31</v>
      </c>
      <c r="F18" t="s">
        <v>14</v>
      </c>
      <c r="G18" t="s">
        <v>15</v>
      </c>
      <c r="H18" t="s">
        <v>32</v>
      </c>
      <c r="I18" t="s">
        <v>47</v>
      </c>
      <c r="J18" t="s">
        <v>18</v>
      </c>
      <c r="K18" t="s">
        <v>47</v>
      </c>
    </row>
    <row r="19" spans="1:11" hidden="1" x14ac:dyDescent="0.3">
      <c r="A19" s="2">
        <v>18</v>
      </c>
      <c r="B19" t="s">
        <v>71</v>
      </c>
      <c r="C19" t="s">
        <v>73</v>
      </c>
      <c r="D19" s="2">
        <v>7034095804</v>
      </c>
      <c r="E19" t="s">
        <v>41</v>
      </c>
      <c r="F19" t="s">
        <v>22</v>
      </c>
      <c r="G19" t="s">
        <v>15</v>
      </c>
      <c r="H19" t="s">
        <v>32</v>
      </c>
      <c r="I19" t="s">
        <v>33</v>
      </c>
      <c r="J19" t="s">
        <v>18</v>
      </c>
      <c r="K19" t="s">
        <v>74</v>
      </c>
    </row>
    <row r="20" spans="1:11" hidden="1" x14ac:dyDescent="0.3">
      <c r="A20" s="2">
        <v>19</v>
      </c>
      <c r="B20" t="s">
        <v>75</v>
      </c>
      <c r="C20" t="s">
        <v>76</v>
      </c>
      <c r="D20" s="2">
        <v>9544687114</v>
      </c>
      <c r="E20" t="s">
        <v>77</v>
      </c>
      <c r="F20" t="s">
        <v>62</v>
      </c>
      <c r="G20" t="s">
        <v>15</v>
      </c>
      <c r="H20" t="s">
        <v>32</v>
      </c>
      <c r="I20" t="s">
        <v>33</v>
      </c>
      <c r="J20" t="s">
        <v>18</v>
      </c>
      <c r="K20" t="s">
        <v>78</v>
      </c>
    </row>
    <row r="21" spans="1:11" hidden="1" x14ac:dyDescent="0.3">
      <c r="A21" s="2">
        <v>20</v>
      </c>
      <c r="B21" t="s">
        <v>59</v>
      </c>
      <c r="C21" t="s">
        <v>79</v>
      </c>
      <c r="D21" s="2">
        <v>9745934419</v>
      </c>
      <c r="E21" t="s">
        <v>80</v>
      </c>
      <c r="F21" t="s">
        <v>22</v>
      </c>
      <c r="G21" t="s">
        <v>15</v>
      </c>
      <c r="H21" t="s">
        <v>32</v>
      </c>
      <c r="I21" t="s">
        <v>33</v>
      </c>
      <c r="J21" t="s">
        <v>18</v>
      </c>
      <c r="K21" t="s">
        <v>81</v>
      </c>
    </row>
    <row r="22" spans="1:11" hidden="1" x14ac:dyDescent="0.3">
      <c r="A22" s="2">
        <v>21</v>
      </c>
      <c r="B22" t="s">
        <v>59</v>
      </c>
      <c r="C22" t="s">
        <v>82</v>
      </c>
      <c r="D22" s="2">
        <v>9037163116</v>
      </c>
      <c r="E22" t="s">
        <v>83</v>
      </c>
      <c r="F22" t="s">
        <v>28</v>
      </c>
      <c r="G22" t="s">
        <v>15</v>
      </c>
      <c r="H22" t="s">
        <v>32</v>
      </c>
      <c r="I22" t="s">
        <v>33</v>
      </c>
      <c r="J22" t="s">
        <v>18</v>
      </c>
      <c r="K22" t="s">
        <v>84</v>
      </c>
    </row>
    <row r="23" spans="1:11" hidden="1" x14ac:dyDescent="0.3">
      <c r="A23" s="2">
        <v>22</v>
      </c>
      <c r="B23" t="s">
        <v>59</v>
      </c>
      <c r="C23" t="s">
        <v>85</v>
      </c>
      <c r="D23" s="2">
        <v>9544955127</v>
      </c>
      <c r="E23" t="s">
        <v>83</v>
      </c>
      <c r="F23" t="s">
        <v>22</v>
      </c>
      <c r="G23" t="s">
        <v>15</v>
      </c>
      <c r="H23" t="s">
        <v>32</v>
      </c>
      <c r="I23" t="s">
        <v>42</v>
      </c>
      <c r="J23" t="s">
        <v>18</v>
      </c>
      <c r="K23" t="s">
        <v>86</v>
      </c>
    </row>
    <row r="24" spans="1:11" hidden="1" x14ac:dyDescent="0.3">
      <c r="A24" s="2">
        <v>23</v>
      </c>
      <c r="B24" t="s">
        <v>31</v>
      </c>
      <c r="C24" t="s">
        <v>87</v>
      </c>
      <c r="D24" s="2">
        <v>9633432135</v>
      </c>
      <c r="E24" t="s">
        <v>88</v>
      </c>
      <c r="F24" t="s">
        <v>14</v>
      </c>
      <c r="G24" t="s">
        <v>15</v>
      </c>
      <c r="H24" t="s">
        <v>32</v>
      </c>
      <c r="I24" t="s">
        <v>33</v>
      </c>
      <c r="J24" t="s">
        <v>18</v>
      </c>
      <c r="K24" t="s">
        <v>89</v>
      </c>
    </row>
    <row r="25" spans="1:11" hidden="1" x14ac:dyDescent="0.3">
      <c r="A25" s="2">
        <v>24</v>
      </c>
      <c r="B25" t="s">
        <v>31</v>
      </c>
      <c r="C25" t="s">
        <v>90</v>
      </c>
      <c r="D25" s="2">
        <v>9746699343</v>
      </c>
      <c r="E25" t="s">
        <v>21</v>
      </c>
      <c r="F25" t="s">
        <v>62</v>
      </c>
      <c r="G25" t="s">
        <v>15</v>
      </c>
      <c r="H25" t="s">
        <v>32</v>
      </c>
      <c r="I25" t="s">
        <v>33</v>
      </c>
      <c r="J25" t="s">
        <v>18</v>
      </c>
      <c r="K25" t="s">
        <v>91</v>
      </c>
    </row>
    <row r="26" spans="1:11" hidden="1" x14ac:dyDescent="0.3">
      <c r="A26" s="2">
        <v>25</v>
      </c>
      <c r="B26" t="s">
        <v>92</v>
      </c>
      <c r="C26" t="s">
        <v>93</v>
      </c>
      <c r="D26" s="2">
        <v>7356975008</v>
      </c>
      <c r="E26" t="s">
        <v>94</v>
      </c>
      <c r="F26" t="s">
        <v>28</v>
      </c>
      <c r="G26" t="s">
        <v>15</v>
      </c>
      <c r="H26" t="s">
        <v>32</v>
      </c>
      <c r="I26" t="s">
        <v>33</v>
      </c>
      <c r="J26" t="s">
        <v>18</v>
      </c>
      <c r="K26" t="s">
        <v>95</v>
      </c>
    </row>
    <row r="27" spans="1:11" x14ac:dyDescent="0.3">
      <c r="A27" s="2">
        <v>26</v>
      </c>
      <c r="B27" t="s">
        <v>92</v>
      </c>
      <c r="C27" t="s">
        <v>96</v>
      </c>
      <c r="D27" s="2">
        <v>7994663933</v>
      </c>
      <c r="E27" t="s">
        <v>97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 t="s">
        <v>98</v>
      </c>
    </row>
    <row r="28" spans="1:11" hidden="1" x14ac:dyDescent="0.3">
      <c r="A28" s="2">
        <v>27</v>
      </c>
      <c r="B28" t="s">
        <v>99</v>
      </c>
      <c r="C28" t="s">
        <v>46</v>
      </c>
      <c r="D28" s="2">
        <v>9944238129</v>
      </c>
      <c r="E28" t="s">
        <v>83</v>
      </c>
      <c r="F28" t="s">
        <v>28</v>
      </c>
      <c r="G28" t="s">
        <v>15</v>
      </c>
      <c r="H28" t="s">
        <v>32</v>
      </c>
      <c r="I28" t="s">
        <v>33</v>
      </c>
      <c r="J28" t="s">
        <v>18</v>
      </c>
      <c r="K28" t="s">
        <v>66</v>
      </c>
    </row>
    <row r="29" spans="1:11" hidden="1" x14ac:dyDescent="0.3">
      <c r="A29" s="2">
        <v>28</v>
      </c>
      <c r="B29" t="s">
        <v>99</v>
      </c>
      <c r="C29" t="s">
        <v>100</v>
      </c>
      <c r="D29" s="2">
        <v>8113936989</v>
      </c>
      <c r="E29" t="s">
        <v>101</v>
      </c>
      <c r="F29" t="s">
        <v>14</v>
      </c>
      <c r="G29" t="s">
        <v>15</v>
      </c>
      <c r="H29" t="s">
        <v>32</v>
      </c>
      <c r="I29" t="s">
        <v>47</v>
      </c>
      <c r="J29" t="s">
        <v>18</v>
      </c>
      <c r="K29" t="s">
        <v>84</v>
      </c>
    </row>
    <row r="30" spans="1:11" hidden="1" x14ac:dyDescent="0.3">
      <c r="A30" s="2">
        <v>29</v>
      </c>
      <c r="B30" t="s">
        <v>102</v>
      </c>
      <c r="C30" t="s">
        <v>103</v>
      </c>
      <c r="D30" s="2">
        <v>7736186994</v>
      </c>
      <c r="E30" t="s">
        <v>83</v>
      </c>
      <c r="F30" t="s">
        <v>28</v>
      </c>
      <c r="G30" t="s">
        <v>15</v>
      </c>
      <c r="H30" t="s">
        <v>32</v>
      </c>
      <c r="I30" t="s">
        <v>33</v>
      </c>
      <c r="J30" t="s">
        <v>18</v>
      </c>
      <c r="K30" t="s">
        <v>84</v>
      </c>
    </row>
    <row r="31" spans="1:11" x14ac:dyDescent="0.3">
      <c r="A31" s="2">
        <v>30</v>
      </c>
      <c r="B31" t="s">
        <v>102</v>
      </c>
      <c r="C31" t="s">
        <v>104</v>
      </c>
      <c r="D31" s="2">
        <v>9188226272</v>
      </c>
      <c r="E31" t="s">
        <v>105</v>
      </c>
      <c r="F31" t="s">
        <v>62</v>
      </c>
      <c r="G31" t="s">
        <v>15</v>
      </c>
      <c r="H31" t="s">
        <v>16</v>
      </c>
      <c r="I31" t="s">
        <v>38</v>
      </c>
      <c r="J31" t="s">
        <v>18</v>
      </c>
      <c r="K31" t="s">
        <v>106</v>
      </c>
    </row>
    <row r="32" spans="1:11" hidden="1" x14ac:dyDescent="0.3">
      <c r="A32" s="2">
        <v>31</v>
      </c>
      <c r="B32" t="s">
        <v>102</v>
      </c>
      <c r="C32" t="s">
        <v>107</v>
      </c>
      <c r="D32" s="2">
        <v>8137800639</v>
      </c>
      <c r="E32" t="s">
        <v>108</v>
      </c>
      <c r="F32" t="s">
        <v>22</v>
      </c>
      <c r="G32" t="s">
        <v>15</v>
      </c>
      <c r="H32" t="s">
        <v>32</v>
      </c>
      <c r="I32" t="s">
        <v>42</v>
      </c>
      <c r="J32" t="s">
        <v>18</v>
      </c>
      <c r="K32" t="s">
        <v>32</v>
      </c>
    </row>
    <row r="33" spans="1:11" x14ac:dyDescent="0.3">
      <c r="A33" s="2">
        <v>32</v>
      </c>
      <c r="B33" t="s">
        <v>102</v>
      </c>
      <c r="C33" t="s">
        <v>109</v>
      </c>
      <c r="D33" s="2">
        <v>9895992097</v>
      </c>
      <c r="E33" t="s">
        <v>110</v>
      </c>
      <c r="F33" t="s">
        <v>62</v>
      </c>
      <c r="G33" t="s">
        <v>15</v>
      </c>
      <c r="H33" t="s">
        <v>16</v>
      </c>
      <c r="I33" t="s">
        <v>38</v>
      </c>
      <c r="J33" t="s">
        <v>18</v>
      </c>
      <c r="K33" t="s">
        <v>111</v>
      </c>
    </row>
    <row r="34" spans="1:11" hidden="1" x14ac:dyDescent="0.3">
      <c r="A34" s="2">
        <v>33</v>
      </c>
      <c r="B34" t="s">
        <v>112</v>
      </c>
      <c r="C34" t="s">
        <v>113</v>
      </c>
      <c r="D34" s="2">
        <v>9061888255</v>
      </c>
      <c r="E34" t="s">
        <v>83</v>
      </c>
      <c r="F34" t="s">
        <v>22</v>
      </c>
      <c r="G34" t="s">
        <v>15</v>
      </c>
      <c r="H34" t="s">
        <v>32</v>
      </c>
      <c r="I34" t="s">
        <v>33</v>
      </c>
      <c r="J34" t="s">
        <v>18</v>
      </c>
      <c r="K34" t="s">
        <v>114</v>
      </c>
    </row>
    <row r="35" spans="1:11" x14ac:dyDescent="0.3">
      <c r="A35" s="2">
        <v>34</v>
      </c>
      <c r="B35" t="s">
        <v>112</v>
      </c>
      <c r="C35" t="s">
        <v>115</v>
      </c>
      <c r="D35" s="2">
        <v>9048234580</v>
      </c>
      <c r="E35" t="s">
        <v>83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17</v>
      </c>
    </row>
    <row r="36" spans="1:11" hidden="1" x14ac:dyDescent="0.3">
      <c r="A36" s="2">
        <v>35</v>
      </c>
      <c r="B36" t="s">
        <v>112</v>
      </c>
      <c r="C36" t="s">
        <v>116</v>
      </c>
      <c r="D36" s="2">
        <v>7012922932</v>
      </c>
      <c r="E36" t="s">
        <v>117</v>
      </c>
      <c r="F36" t="s">
        <v>62</v>
      </c>
      <c r="G36" t="s">
        <v>15</v>
      </c>
      <c r="H36" t="s">
        <v>32</v>
      </c>
      <c r="I36" t="s">
        <v>33</v>
      </c>
      <c r="J36" t="s">
        <v>18</v>
      </c>
      <c r="K36" t="s">
        <v>86</v>
      </c>
    </row>
    <row r="37" spans="1:11" hidden="1" x14ac:dyDescent="0.3">
      <c r="A37" s="2">
        <v>36</v>
      </c>
      <c r="B37" t="s">
        <v>118</v>
      </c>
      <c r="C37" t="s">
        <v>119</v>
      </c>
      <c r="D37" s="2">
        <v>7736281916</v>
      </c>
      <c r="E37" t="s">
        <v>21</v>
      </c>
      <c r="F37" t="s">
        <v>62</v>
      </c>
      <c r="G37" t="s">
        <v>15</v>
      </c>
      <c r="H37" t="s">
        <v>32</v>
      </c>
      <c r="I37" t="s">
        <v>33</v>
      </c>
      <c r="J37" t="s">
        <v>18</v>
      </c>
      <c r="K37" t="s">
        <v>120</v>
      </c>
    </row>
    <row r="38" spans="1:11" hidden="1" x14ac:dyDescent="0.3">
      <c r="A38" s="2">
        <v>37</v>
      </c>
      <c r="B38" t="s">
        <v>118</v>
      </c>
      <c r="C38" t="s">
        <v>121</v>
      </c>
      <c r="D38" s="2">
        <v>8281176784</v>
      </c>
      <c r="E38" t="s">
        <v>122</v>
      </c>
      <c r="F38" t="s">
        <v>14</v>
      </c>
      <c r="G38" t="s">
        <v>15</v>
      </c>
      <c r="H38" t="s">
        <v>32</v>
      </c>
      <c r="I38" t="s">
        <v>47</v>
      </c>
      <c r="J38" t="s">
        <v>18</v>
      </c>
      <c r="K38" t="s">
        <v>123</v>
      </c>
    </row>
    <row r="39" spans="1:11" hidden="1" x14ac:dyDescent="0.3">
      <c r="A39" s="2">
        <v>38</v>
      </c>
      <c r="B39" t="s">
        <v>118</v>
      </c>
      <c r="C39" t="s">
        <v>124</v>
      </c>
      <c r="D39" s="2">
        <v>8594077389</v>
      </c>
      <c r="E39" t="s">
        <v>108</v>
      </c>
      <c r="F39" t="s">
        <v>14</v>
      </c>
      <c r="G39" t="s">
        <v>15</v>
      </c>
      <c r="H39" t="s">
        <v>125</v>
      </c>
      <c r="I39" t="s">
        <v>126</v>
      </c>
      <c r="J39" t="s">
        <v>18</v>
      </c>
      <c r="K39" t="s">
        <v>125</v>
      </c>
    </row>
    <row r="40" spans="1:11" hidden="1" x14ac:dyDescent="0.3">
      <c r="A40" s="2">
        <v>39</v>
      </c>
      <c r="B40" t="s">
        <v>83</v>
      </c>
      <c r="C40" t="s">
        <v>127</v>
      </c>
      <c r="D40" s="2">
        <v>7902520145</v>
      </c>
      <c r="E40" t="s">
        <v>128</v>
      </c>
      <c r="F40" t="s">
        <v>28</v>
      </c>
      <c r="G40" t="s">
        <v>15</v>
      </c>
      <c r="H40" t="s">
        <v>32</v>
      </c>
      <c r="I40" t="s">
        <v>33</v>
      </c>
      <c r="J40" t="s">
        <v>18</v>
      </c>
      <c r="K40" t="s">
        <v>84</v>
      </c>
    </row>
    <row r="41" spans="1:11" hidden="1" x14ac:dyDescent="0.3">
      <c r="A41" s="2">
        <v>40</v>
      </c>
      <c r="B41" t="s">
        <v>83</v>
      </c>
      <c r="C41" t="s">
        <v>129</v>
      </c>
      <c r="D41" s="2">
        <v>9746788650</v>
      </c>
      <c r="E41" t="s">
        <v>130</v>
      </c>
      <c r="F41" t="s">
        <v>14</v>
      </c>
      <c r="G41" t="s">
        <v>15</v>
      </c>
      <c r="H41" t="s">
        <v>23</v>
      </c>
      <c r="I41" t="s">
        <v>24</v>
      </c>
      <c r="J41" t="s">
        <v>18</v>
      </c>
      <c r="K41" t="s">
        <v>131</v>
      </c>
    </row>
    <row r="42" spans="1:11" hidden="1" x14ac:dyDescent="0.3">
      <c r="A42" s="2">
        <v>41</v>
      </c>
      <c r="B42" t="s">
        <v>105</v>
      </c>
      <c r="C42" t="s">
        <v>132</v>
      </c>
      <c r="D42" s="2">
        <v>9544224662</v>
      </c>
      <c r="E42" t="s">
        <v>88</v>
      </c>
      <c r="F42" t="s">
        <v>22</v>
      </c>
      <c r="G42" t="s">
        <v>15</v>
      </c>
      <c r="H42" t="s">
        <v>32</v>
      </c>
      <c r="I42" t="s">
        <v>33</v>
      </c>
      <c r="J42" t="s">
        <v>18</v>
      </c>
      <c r="K42" t="s">
        <v>133</v>
      </c>
    </row>
    <row r="43" spans="1:11" hidden="1" x14ac:dyDescent="0.3">
      <c r="A43" s="2">
        <v>42</v>
      </c>
      <c r="B43" t="s">
        <v>105</v>
      </c>
      <c r="C43" t="s">
        <v>134</v>
      </c>
      <c r="D43" s="2">
        <v>7306192351</v>
      </c>
      <c r="E43" t="s">
        <v>97</v>
      </c>
      <c r="F43" t="s">
        <v>28</v>
      </c>
      <c r="G43" t="s">
        <v>15</v>
      </c>
      <c r="H43" t="s">
        <v>32</v>
      </c>
      <c r="I43" t="s">
        <v>33</v>
      </c>
      <c r="J43" t="s">
        <v>18</v>
      </c>
      <c r="K43" t="s">
        <v>84</v>
      </c>
    </row>
    <row r="44" spans="1:11" x14ac:dyDescent="0.3">
      <c r="A44" s="2">
        <v>43</v>
      </c>
      <c r="B44" t="s">
        <v>88</v>
      </c>
      <c r="C44" t="s">
        <v>135</v>
      </c>
      <c r="D44" s="2">
        <v>9633572590</v>
      </c>
      <c r="E44" t="s">
        <v>136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  <c r="K44" t="s">
        <v>137</v>
      </c>
    </row>
    <row r="45" spans="1:11" hidden="1" x14ac:dyDescent="0.3">
      <c r="A45" s="2">
        <v>44</v>
      </c>
      <c r="B45" t="s">
        <v>88</v>
      </c>
      <c r="C45" t="s">
        <v>138</v>
      </c>
      <c r="D45" s="2">
        <v>9633828095</v>
      </c>
      <c r="E45" t="s">
        <v>139</v>
      </c>
      <c r="F45" t="s">
        <v>28</v>
      </c>
      <c r="G45" t="s">
        <v>15</v>
      </c>
      <c r="H45" t="s">
        <v>32</v>
      </c>
      <c r="I45" t="s">
        <v>33</v>
      </c>
      <c r="J45" t="s">
        <v>18</v>
      </c>
      <c r="K45" t="s">
        <v>84</v>
      </c>
    </row>
    <row r="46" spans="1:11" hidden="1" x14ac:dyDescent="0.3">
      <c r="A46" s="2">
        <v>45</v>
      </c>
      <c r="B46" t="s">
        <v>41</v>
      </c>
      <c r="C46" t="s">
        <v>140</v>
      </c>
      <c r="D46" s="2">
        <v>7012528474</v>
      </c>
      <c r="E46" t="s">
        <v>97</v>
      </c>
      <c r="F46" t="s">
        <v>141</v>
      </c>
      <c r="G46" t="s">
        <v>15</v>
      </c>
      <c r="H46" t="s">
        <v>32</v>
      </c>
      <c r="I46" t="s">
        <v>42</v>
      </c>
      <c r="J46" t="s">
        <v>18</v>
      </c>
      <c r="K46" t="s">
        <v>86</v>
      </c>
    </row>
    <row r="47" spans="1:11" hidden="1" x14ac:dyDescent="0.3">
      <c r="A47" s="2">
        <v>46</v>
      </c>
      <c r="B47" t="s">
        <v>41</v>
      </c>
      <c r="C47" t="s">
        <v>142</v>
      </c>
      <c r="D47" s="2">
        <v>9746446604</v>
      </c>
      <c r="E47" t="s">
        <v>143</v>
      </c>
      <c r="F47" t="s">
        <v>141</v>
      </c>
      <c r="G47" t="s">
        <v>15</v>
      </c>
      <c r="H47" t="s">
        <v>32</v>
      </c>
      <c r="I47" t="s">
        <v>42</v>
      </c>
      <c r="J47" t="s">
        <v>18</v>
      </c>
      <c r="K47" t="s">
        <v>32</v>
      </c>
    </row>
    <row r="48" spans="1:11" x14ac:dyDescent="0.3">
      <c r="A48" s="2">
        <v>47</v>
      </c>
      <c r="B48" t="s">
        <v>41</v>
      </c>
      <c r="C48" t="s">
        <v>144</v>
      </c>
      <c r="D48" s="2">
        <v>9061119411</v>
      </c>
      <c r="E48" t="s">
        <v>108</v>
      </c>
      <c r="F48" t="s">
        <v>62</v>
      </c>
      <c r="G48" t="s">
        <v>15</v>
      </c>
      <c r="H48" t="s">
        <v>16</v>
      </c>
      <c r="I48" t="s">
        <v>38</v>
      </c>
      <c r="J48" t="s">
        <v>18</v>
      </c>
      <c r="K48" t="s">
        <v>145</v>
      </c>
    </row>
    <row r="49" spans="1:11" hidden="1" x14ac:dyDescent="0.3">
      <c r="A49" s="2">
        <v>48</v>
      </c>
      <c r="B49" t="s">
        <v>146</v>
      </c>
      <c r="C49" t="s">
        <v>147</v>
      </c>
      <c r="D49" s="2">
        <v>9567896407</v>
      </c>
      <c r="E49" t="s">
        <v>108</v>
      </c>
      <c r="F49" t="s">
        <v>141</v>
      </c>
      <c r="G49" t="s">
        <v>15</v>
      </c>
      <c r="H49" t="s">
        <v>32</v>
      </c>
      <c r="I49" t="s">
        <v>33</v>
      </c>
      <c r="J49" t="s">
        <v>18</v>
      </c>
      <c r="K49" t="s">
        <v>148</v>
      </c>
    </row>
    <row r="50" spans="1:11" hidden="1" x14ac:dyDescent="0.3">
      <c r="A50" s="2">
        <v>49</v>
      </c>
      <c r="B50" t="s">
        <v>146</v>
      </c>
      <c r="C50" t="s">
        <v>149</v>
      </c>
      <c r="D50" s="2">
        <v>6282645661</v>
      </c>
      <c r="E50" t="s">
        <v>110</v>
      </c>
      <c r="F50" t="s">
        <v>141</v>
      </c>
      <c r="G50" t="s">
        <v>15</v>
      </c>
      <c r="H50" t="s">
        <v>32</v>
      </c>
      <c r="I50" t="s">
        <v>33</v>
      </c>
      <c r="J50" t="s">
        <v>18</v>
      </c>
      <c r="K50" t="s">
        <v>84</v>
      </c>
    </row>
    <row r="51" spans="1:11" hidden="1" x14ac:dyDescent="0.3">
      <c r="A51" s="2">
        <v>50</v>
      </c>
      <c r="B51" t="s">
        <v>146</v>
      </c>
      <c r="C51" t="s">
        <v>150</v>
      </c>
      <c r="D51" s="2">
        <v>9544694454</v>
      </c>
      <c r="E51" t="s">
        <v>151</v>
      </c>
      <c r="F51" t="s">
        <v>62</v>
      </c>
      <c r="G51" t="s">
        <v>15</v>
      </c>
      <c r="H51" t="s">
        <v>32</v>
      </c>
      <c r="I51" t="s">
        <v>47</v>
      </c>
      <c r="J51" t="s">
        <v>18</v>
      </c>
      <c r="K51" t="s">
        <v>47</v>
      </c>
    </row>
    <row r="52" spans="1:11" hidden="1" x14ac:dyDescent="0.3">
      <c r="A52" s="2">
        <v>51</v>
      </c>
      <c r="B52" t="s">
        <v>146</v>
      </c>
      <c r="C52" t="s">
        <v>152</v>
      </c>
      <c r="D52" s="2">
        <v>9645504459</v>
      </c>
      <c r="E52" t="s">
        <v>110</v>
      </c>
      <c r="F52" t="s">
        <v>141</v>
      </c>
      <c r="G52" t="s">
        <v>15</v>
      </c>
      <c r="H52" t="s">
        <v>32</v>
      </c>
      <c r="I52" t="s">
        <v>47</v>
      </c>
      <c r="J52" t="s">
        <v>18</v>
      </c>
      <c r="K52" t="s">
        <v>47</v>
      </c>
    </row>
    <row r="53" spans="1:11" x14ac:dyDescent="0.3">
      <c r="A53" s="2">
        <v>52</v>
      </c>
      <c r="B53" t="s">
        <v>146</v>
      </c>
      <c r="C53" t="s">
        <v>153</v>
      </c>
      <c r="D53" s="2">
        <v>9961971272</v>
      </c>
      <c r="E53" t="s">
        <v>110</v>
      </c>
      <c r="F53" t="s">
        <v>14</v>
      </c>
      <c r="G53" t="s">
        <v>15</v>
      </c>
      <c r="H53" t="s">
        <v>16</v>
      </c>
      <c r="I53" t="s">
        <v>51</v>
      </c>
      <c r="J53" t="s">
        <v>18</v>
      </c>
    </row>
    <row r="54" spans="1:11" hidden="1" x14ac:dyDescent="0.3">
      <c r="A54" s="2">
        <v>53</v>
      </c>
      <c r="B54" t="s">
        <v>146</v>
      </c>
      <c r="C54" t="s">
        <v>154</v>
      </c>
      <c r="D54" s="2">
        <v>7306398120</v>
      </c>
      <c r="E54" t="s">
        <v>110</v>
      </c>
      <c r="F54" t="s">
        <v>62</v>
      </c>
      <c r="G54" t="s">
        <v>15</v>
      </c>
      <c r="H54" t="s">
        <v>32</v>
      </c>
      <c r="I54" t="s">
        <v>33</v>
      </c>
      <c r="J54" t="s">
        <v>18</v>
      </c>
    </row>
    <row r="55" spans="1:11" x14ac:dyDescent="0.3">
      <c r="A55" s="2">
        <v>54</v>
      </c>
      <c r="B55" t="s">
        <v>108</v>
      </c>
      <c r="C55" t="s">
        <v>155</v>
      </c>
      <c r="D55" s="2">
        <v>9961113071</v>
      </c>
      <c r="E55" t="s">
        <v>110</v>
      </c>
      <c r="F55" t="s">
        <v>141</v>
      </c>
      <c r="G55" t="s">
        <v>15</v>
      </c>
      <c r="H55" t="s">
        <v>16</v>
      </c>
      <c r="I55" t="s">
        <v>17</v>
      </c>
      <c r="J55" t="s">
        <v>18</v>
      </c>
      <c r="K55" t="s">
        <v>156</v>
      </c>
    </row>
    <row r="56" spans="1:11" hidden="1" x14ac:dyDescent="0.3">
      <c r="A56" s="2">
        <v>55</v>
      </c>
      <c r="B56" t="s">
        <v>108</v>
      </c>
      <c r="C56" t="s">
        <v>157</v>
      </c>
      <c r="D56" s="2">
        <v>8848883218</v>
      </c>
      <c r="E56" t="s">
        <v>158</v>
      </c>
      <c r="F56" t="s">
        <v>22</v>
      </c>
      <c r="G56" t="s">
        <v>15</v>
      </c>
      <c r="H56" t="s">
        <v>32</v>
      </c>
      <c r="I56" t="s">
        <v>42</v>
      </c>
      <c r="J56" t="s">
        <v>18</v>
      </c>
      <c r="K56" t="s">
        <v>159</v>
      </c>
    </row>
    <row r="57" spans="1:11" hidden="1" x14ac:dyDescent="0.3">
      <c r="A57" s="2">
        <v>56</v>
      </c>
      <c r="B57" t="s">
        <v>108</v>
      </c>
      <c r="C57" t="s">
        <v>160</v>
      </c>
      <c r="D57" s="2">
        <v>7012722529</v>
      </c>
      <c r="E57" t="s">
        <v>161</v>
      </c>
      <c r="F57" t="s">
        <v>141</v>
      </c>
      <c r="G57" t="s">
        <v>15</v>
      </c>
      <c r="H57" t="s">
        <v>32</v>
      </c>
      <c r="I57" t="s">
        <v>42</v>
      </c>
      <c r="J57" t="s">
        <v>18</v>
      </c>
      <c r="K57" t="s">
        <v>162</v>
      </c>
    </row>
    <row r="58" spans="1:11" hidden="1" x14ac:dyDescent="0.3">
      <c r="A58" s="2">
        <v>57</v>
      </c>
      <c r="B58" t="s">
        <v>163</v>
      </c>
      <c r="C58" t="s">
        <v>164</v>
      </c>
      <c r="D58" s="2">
        <v>7012074564</v>
      </c>
      <c r="E58" t="s">
        <v>110</v>
      </c>
      <c r="F58" t="s">
        <v>141</v>
      </c>
      <c r="G58" t="s">
        <v>15</v>
      </c>
      <c r="H58" t="s">
        <v>32</v>
      </c>
      <c r="I58" t="s">
        <v>42</v>
      </c>
      <c r="J58" t="s">
        <v>18</v>
      </c>
      <c r="K58" t="s">
        <v>165</v>
      </c>
    </row>
  </sheetData>
  <autoFilter ref="A1:K58" xr:uid="{00000000-0001-0000-0000-000000000000}">
    <filterColumn colId="7">
      <filters>
        <filter val="PRODUC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7414-80B8-421D-9518-8B269F65A174}">
  <dimension ref="A1:B6"/>
  <sheetViews>
    <sheetView tabSelected="1" workbookViewId="0">
      <selection activeCell="F2" sqref="F2"/>
    </sheetView>
  </sheetViews>
  <sheetFormatPr defaultRowHeight="14.4" x14ac:dyDescent="0.3"/>
  <cols>
    <col min="1" max="1" width="7.109375" customWidth="1"/>
    <col min="2" max="2" width="90.21875" bestFit="1" customWidth="1"/>
  </cols>
  <sheetData>
    <row r="1" spans="1:2" x14ac:dyDescent="0.3">
      <c r="A1" s="21" t="s">
        <v>173</v>
      </c>
      <c r="B1" s="21" t="s">
        <v>174</v>
      </c>
    </row>
    <row r="2" spans="1:2" x14ac:dyDescent="0.3">
      <c r="A2" s="3">
        <v>1</v>
      </c>
      <c r="B2" s="3" t="s">
        <v>175</v>
      </c>
    </row>
    <row r="3" spans="1:2" x14ac:dyDescent="0.3">
      <c r="A3" s="3">
        <v>2</v>
      </c>
      <c r="B3" s="3" t="s">
        <v>176</v>
      </c>
    </row>
    <row r="4" spans="1:2" x14ac:dyDescent="0.3">
      <c r="A4" s="3">
        <v>3</v>
      </c>
      <c r="B4" s="3" t="s">
        <v>177</v>
      </c>
    </row>
    <row r="5" spans="1:2" x14ac:dyDescent="0.3">
      <c r="A5" s="3">
        <v>4</v>
      </c>
      <c r="B5" s="3" t="s">
        <v>178</v>
      </c>
    </row>
    <row r="6" spans="1:2" x14ac:dyDescent="0.3">
      <c r="A6" s="3">
        <v>5</v>
      </c>
      <c r="B6" s="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 wise</vt:lpstr>
      <vt:lpstr>Reason</vt:lpstr>
      <vt:lpstr>DATA</vt:lpstr>
      <vt:lpstr>Action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brynex</dc:creator>
  <cp:lastModifiedBy>Subin Sudhakaran P</cp:lastModifiedBy>
  <dcterms:created xsi:type="dcterms:W3CDTF">2025-07-21T09:59:32Z</dcterms:created>
  <dcterms:modified xsi:type="dcterms:W3CDTF">2025-10-28T08:23:43Z</dcterms:modified>
</cp:coreProperties>
</file>