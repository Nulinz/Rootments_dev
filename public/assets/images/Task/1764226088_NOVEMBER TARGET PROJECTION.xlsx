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B8E70E6E-AD5B-4A09-B87B-766913588374}" xr6:coauthVersionLast="47" xr6:coauthVersionMax="47" xr10:uidLastSave="{00000000-0000-0000-0000-000000000000}"/>
  <bookViews>
    <workbookView xWindow="-108" yWindow="-108" windowWidth="23256" windowHeight="12456" xr2:uid="{7FC0E50D-2CA7-44F0-8090-98B7650AE7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" i="1" l="1"/>
  <c r="L7" i="1"/>
  <c r="U12" i="1" l="1"/>
  <c r="U11" i="1"/>
  <c r="U10" i="1"/>
  <c r="U9" i="1"/>
  <c r="U8" i="1"/>
  <c r="U7" i="1"/>
  <c r="U6" i="1"/>
  <c r="U5" i="1"/>
  <c r="U4" i="1"/>
  <c r="U13" i="1"/>
  <c r="G9" i="1"/>
  <c r="B21" i="1" s="1"/>
  <c r="L19" i="1"/>
  <c r="E5" i="1"/>
  <c r="E6" i="1"/>
  <c r="E7" i="1"/>
  <c r="E8" i="1"/>
  <c r="E9" i="1"/>
  <c r="H9" i="1" s="1"/>
  <c r="E10" i="1"/>
  <c r="E11" i="1"/>
  <c r="E4" i="1"/>
  <c r="Q12" i="1" l="1"/>
  <c r="F11" i="1"/>
  <c r="G11" i="1"/>
  <c r="B23" i="1" s="1"/>
  <c r="G10" i="1"/>
  <c r="B22" i="1" s="1"/>
  <c r="F10" i="1"/>
  <c r="P9" i="1"/>
  <c r="R9" i="1" s="1"/>
  <c r="F9" i="1"/>
  <c r="G8" i="1"/>
  <c r="F8" i="1"/>
  <c r="G7" i="1"/>
  <c r="G6" i="1"/>
  <c r="G5" i="1"/>
  <c r="F5" i="1"/>
  <c r="G4" i="1"/>
  <c r="F4" i="1"/>
  <c r="H6" i="1" l="1"/>
  <c r="B18" i="1"/>
  <c r="K4" i="1"/>
  <c r="H4" i="1"/>
  <c r="B16" i="1"/>
  <c r="P5" i="1"/>
  <c r="R5" i="1" s="1"/>
  <c r="B17" i="1"/>
  <c r="L8" i="1"/>
  <c r="O8" i="1" s="1"/>
  <c r="P8" i="1"/>
  <c r="R8" i="1" s="1"/>
  <c r="B20" i="1"/>
  <c r="H8" i="1"/>
  <c r="B19" i="1"/>
  <c r="H7" i="1"/>
  <c r="P10" i="1"/>
  <c r="R10" i="1" s="1"/>
  <c r="H10" i="1"/>
  <c r="I11" i="1"/>
  <c r="H11" i="1"/>
  <c r="K11" i="1"/>
  <c r="P11" i="1"/>
  <c r="R11" i="1" s="1"/>
  <c r="L11" i="1"/>
  <c r="M11" i="1" s="1"/>
  <c r="L9" i="1"/>
  <c r="O9" i="1" s="1"/>
  <c r="L5" i="1"/>
  <c r="O5" i="1" s="1"/>
  <c r="L4" i="1"/>
  <c r="O4" i="1" s="1"/>
  <c r="I6" i="1"/>
  <c r="P6" i="1"/>
  <c r="R6" i="1" s="1"/>
  <c r="K6" i="1"/>
  <c r="P7" i="1"/>
  <c r="R7" i="1" s="1"/>
  <c r="K7" i="1"/>
  <c r="I7" i="1"/>
  <c r="L10" i="1"/>
  <c r="F6" i="1"/>
  <c r="I8" i="1"/>
  <c r="I4" i="1"/>
  <c r="P4" i="1"/>
  <c r="R4" i="1" s="1"/>
  <c r="I5" i="1"/>
  <c r="F7" i="1"/>
  <c r="K8" i="1"/>
  <c r="I10" i="1"/>
  <c r="K5" i="1"/>
  <c r="K9" i="1"/>
  <c r="K10" i="1"/>
  <c r="M5" i="1" l="1"/>
  <c r="M8" i="1"/>
  <c r="O11" i="1"/>
  <c r="P12" i="1"/>
  <c r="O6" i="1"/>
  <c r="O10" i="1"/>
  <c r="M10" i="1"/>
  <c r="M7" i="1"/>
  <c r="O7" i="1"/>
</calcChain>
</file>

<file path=xl/sharedStrings.xml><?xml version="1.0" encoding="utf-8"?>
<sst xmlns="http://schemas.openxmlformats.org/spreadsheetml/2006/main" count="46" uniqueCount="37">
  <si>
    <t xml:space="preserve">STORE </t>
  </si>
  <si>
    <t xml:space="preserve">LY Walk-in </t>
  </si>
  <si>
    <t xml:space="preserve">Proj - wlkin </t>
  </si>
  <si>
    <t xml:space="preserve">L2L </t>
  </si>
  <si>
    <t xml:space="preserve">Bill </t>
  </si>
  <si>
    <t>Con</t>
  </si>
  <si>
    <t>L2L</t>
  </si>
  <si>
    <t>Qty</t>
  </si>
  <si>
    <t>Abs</t>
  </si>
  <si>
    <t xml:space="preserve">Value </t>
  </si>
  <si>
    <t>KOTTAYAM</t>
  </si>
  <si>
    <t xml:space="preserve">PERUMBAVUR </t>
  </si>
  <si>
    <t>EDAPPALLY</t>
  </si>
  <si>
    <t>CHAVAKKAD</t>
  </si>
  <si>
    <t>THRISSUR</t>
  </si>
  <si>
    <t xml:space="preserve">PALAKKAD </t>
  </si>
  <si>
    <t xml:space="preserve">TRIVANDRUM </t>
  </si>
  <si>
    <t>Ly mtd bill</t>
  </si>
  <si>
    <t>Ly mtd (qty)</t>
  </si>
  <si>
    <t xml:space="preserve">MG ROAD </t>
  </si>
  <si>
    <t xml:space="preserve">1 CR PLAN </t>
  </si>
  <si>
    <t xml:space="preserve">November Target projection </t>
  </si>
  <si>
    <t>REVENUE</t>
  </si>
  <si>
    <t xml:space="preserve"> </t>
  </si>
  <si>
    <t xml:space="preserve">November Shoe target </t>
  </si>
  <si>
    <t>Sale Value</t>
  </si>
  <si>
    <t>Target</t>
  </si>
  <si>
    <t xml:space="preserve"> Ach%</t>
  </si>
  <si>
    <t xml:space="preserve">OCTOBER </t>
  </si>
  <si>
    <t>KOTTYAM</t>
  </si>
  <si>
    <t>PERUBAVUR</t>
  </si>
  <si>
    <t>EDAPALLY</t>
  </si>
  <si>
    <t>CHAVKKAD</t>
  </si>
  <si>
    <t>THRISUR</t>
  </si>
  <si>
    <t>PALAKAD</t>
  </si>
  <si>
    <t>TRIVNDRUM</t>
  </si>
  <si>
    <t>MG 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</si>
</sst>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1" applyFont="1" applyBorder="1"/>
    <xf numFmtId="1" fontId="0" fillId="0" borderId="1" xfId="0" applyNumberFormat="1" applyBorder="1"/>
    <xf numFmtId="1" fontId="0" fillId="2" borderId="1" xfId="0" applyNumberFormat="1" applyFill="1" applyBorder="1"/>
    <xf numFmtId="0" fontId="0" fillId="2" borderId="1" xfId="0" applyFill="1" applyBorder="1"/>
    <xf numFmtId="9" fontId="0" fillId="2" borderId="1" xfId="1" applyFont="1" applyFill="1" applyBorder="1"/>
    <xf numFmtId="9" fontId="0" fillId="0" borderId="1" xfId="1" applyFont="1" applyFill="1" applyBorder="1"/>
    <xf numFmtId="0" fontId="0" fillId="2" borderId="1" xfId="0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" fontId="0" fillId="0" borderId="1" xfId="0" applyNumberFormat="1" applyBorder="1" applyAlignment="1">
      <alignment horizontal="center"/>
    </xf>
    <xf numFmtId="10" fontId="2" fillId="4" borderId="1" xfId="0" applyNumberFormat="1" applyFont="1" applyFill="1" applyBorder="1" applyAlignment="1">
      <alignment horizontal="right" wrapText="1"/>
    </xf>
    <xf numFmtId="0" fontId="2" fillId="3" borderId="1" xfId="0" applyFont="1" applyFill="1" applyBorder="1"/>
    <xf numFmtId="0" fontId="2" fillId="4" borderId="2" xfId="0" applyFont="1" applyFill="1" applyBorder="1" applyAlignment="1">
      <alignment horizontal="right" wrapText="1"/>
    </xf>
    <xf numFmtId="3" fontId="2" fillId="6" borderId="2" xfId="0" applyNumberFormat="1" applyFont="1" applyFill="1" applyBorder="1" applyAlignment="1">
      <alignment horizontal="right" wrapText="1"/>
    </xf>
    <xf numFmtId="0" fontId="2" fillId="0" borderId="8" xfId="0" applyFont="1" applyBorder="1" applyAlignment="1">
      <alignment horizontal="right" wrapText="1"/>
    </xf>
    <xf numFmtId="0" fontId="0" fillId="0" borderId="8" xfId="0" applyBorder="1" applyAlignment="1">
      <alignment wrapText="1"/>
    </xf>
    <xf numFmtId="3" fontId="2" fillId="0" borderId="8" xfId="0" applyNumberFormat="1" applyFont="1" applyBorder="1" applyAlignment="1">
      <alignment horizontal="right" wrapText="1"/>
    </xf>
    <xf numFmtId="0" fontId="0" fillId="7" borderId="1" xfId="0" applyFill="1" applyBorder="1"/>
    <xf numFmtId="0" fontId="6" fillId="0" borderId="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E6E0D-075C-4788-859B-796170D182E4}">
  <dimension ref="A1:V24"/>
  <sheetViews>
    <sheetView tabSelected="1" zoomScaleNormal="100" workbookViewId="0">
      <selection sqref="A1:P12"/>
    </sheetView>
  </sheetViews>
  <sheetFormatPr defaultRowHeight="14.4" x14ac:dyDescent="0.3"/>
  <cols>
    <col min="1" max="1" width="13.44140625" bestFit="1" customWidth="1"/>
    <col min="2" max="2" width="13.6640625" customWidth="1"/>
    <col min="3" max="13" width="10.5546875" customWidth="1"/>
    <col min="14" max="14" width="12.109375" customWidth="1"/>
    <col min="15" max="18" width="10.5546875" customWidth="1"/>
    <col min="19" max="19" width="14.33203125" customWidth="1"/>
    <col min="20" max="21" width="10.5546875" customWidth="1"/>
    <col min="22" max="22" width="11.44140625" customWidth="1"/>
    <col min="23" max="25" width="8.88671875" customWidth="1"/>
  </cols>
  <sheetData>
    <row r="1" spans="1:22" ht="18.600000000000001" thickBot="1" x14ac:dyDescent="0.4">
      <c r="S1" s="24" t="s">
        <v>28</v>
      </c>
      <c r="T1" s="24"/>
      <c r="U1" s="25"/>
    </row>
    <row r="2" spans="1:22" ht="25.8" customHeight="1" x14ac:dyDescent="0.4">
      <c r="A2" s="26" t="s">
        <v>21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4"/>
      <c r="R2" s="4"/>
      <c r="S2" s="29" t="s">
        <v>25</v>
      </c>
      <c r="T2" s="31" t="s">
        <v>26</v>
      </c>
      <c r="U2" s="33" t="s">
        <v>27</v>
      </c>
      <c r="V2" s="4"/>
    </row>
    <row r="3" spans="1:22" ht="16.2" thickBot="1" x14ac:dyDescent="0.35">
      <c r="A3" s="1" t="s">
        <v>0</v>
      </c>
      <c r="B3" s="1" t="s">
        <v>1</v>
      </c>
      <c r="C3" s="2" t="s">
        <v>2</v>
      </c>
      <c r="D3" s="2" t="s">
        <v>22</v>
      </c>
      <c r="E3" s="2"/>
      <c r="F3" s="1" t="s">
        <v>3</v>
      </c>
      <c r="G3" s="3" t="s">
        <v>4</v>
      </c>
      <c r="H3" s="3" t="s">
        <v>23</v>
      </c>
      <c r="I3" s="3" t="s">
        <v>5</v>
      </c>
      <c r="J3" s="3" t="s">
        <v>17</v>
      </c>
      <c r="K3" s="3" t="s">
        <v>6</v>
      </c>
      <c r="L3" s="3" t="s">
        <v>7</v>
      </c>
      <c r="M3" s="3" t="s">
        <v>8</v>
      </c>
      <c r="N3" s="3" t="s">
        <v>18</v>
      </c>
      <c r="O3" s="3" t="s">
        <v>6</v>
      </c>
      <c r="P3" s="3" t="s">
        <v>9</v>
      </c>
      <c r="Q3" s="3" t="s">
        <v>20</v>
      </c>
      <c r="R3" s="4"/>
      <c r="S3" s="30"/>
      <c r="T3" s="32"/>
      <c r="U3" s="33"/>
      <c r="V3" s="4"/>
    </row>
    <row r="4" spans="1:22" ht="15" thickBot="1" x14ac:dyDescent="0.35">
      <c r="A4" s="23" t="s">
        <v>10</v>
      </c>
      <c r="B4" s="5">
        <v>96</v>
      </c>
      <c r="C4" s="12">
        <v>220</v>
      </c>
      <c r="D4" s="12">
        <v>425500</v>
      </c>
      <c r="E4" s="13">
        <f>D4/J4</f>
        <v>4780.8988764044943</v>
      </c>
      <c r="F4" s="10">
        <f>C4/B4-1</f>
        <v>1.2916666666666665</v>
      </c>
      <c r="G4" s="7">
        <f t="shared" ref="G4:G11" si="0">C4*80/100</f>
        <v>176</v>
      </c>
      <c r="H4" s="7">
        <f>G4*E4</f>
        <v>841438.20224719099</v>
      </c>
      <c r="I4" s="6">
        <f t="shared" ref="I4:I11" si="1">G4/C4</f>
        <v>0.8</v>
      </c>
      <c r="J4" s="4">
        <v>89</v>
      </c>
      <c r="K4" s="6">
        <f>G4/J4-1</f>
        <v>0.97752808988764039</v>
      </c>
      <c r="L4" s="8">
        <f t="shared" ref="L4:L11" si="2">G4*1.8</f>
        <v>316.8</v>
      </c>
      <c r="M4" s="9">
        <v>1.8</v>
      </c>
      <c r="N4" s="9">
        <v>154</v>
      </c>
      <c r="O4" s="10">
        <f>L4/N4-1</f>
        <v>1.0571428571428574</v>
      </c>
      <c r="P4" s="9">
        <f>G4*4600</f>
        <v>809600</v>
      </c>
      <c r="Q4" s="4">
        <v>1300000</v>
      </c>
      <c r="R4" s="6">
        <f>P4/D4-1</f>
        <v>0.90270270270270281</v>
      </c>
      <c r="S4" s="18">
        <v>735377</v>
      </c>
      <c r="T4" s="20">
        <v>728640</v>
      </c>
      <c r="U4" s="16">
        <f>S4/T4</f>
        <v>1.009245992534036</v>
      </c>
      <c r="V4" s="4" t="s">
        <v>29</v>
      </c>
    </row>
    <row r="5" spans="1:22" ht="15" thickBot="1" x14ac:dyDescent="0.35">
      <c r="A5" s="23" t="s">
        <v>11</v>
      </c>
      <c r="B5" s="5">
        <v>172</v>
      </c>
      <c r="C5" s="12">
        <v>420</v>
      </c>
      <c r="D5" s="12"/>
      <c r="E5" s="13">
        <f t="shared" ref="E5:E11" si="3">D5/J5</f>
        <v>0</v>
      </c>
      <c r="F5" s="10">
        <f t="shared" ref="F5:F11" si="4">C5/B5-1</f>
        <v>1.441860465116279</v>
      </c>
      <c r="G5" s="7">
        <f t="shared" si="0"/>
        <v>336</v>
      </c>
      <c r="H5" s="7">
        <v>1650000</v>
      </c>
      <c r="I5" s="6">
        <f t="shared" si="1"/>
        <v>0.8</v>
      </c>
      <c r="J5" s="4">
        <v>118</v>
      </c>
      <c r="K5" s="6">
        <f t="shared" ref="K5:K11" si="5">G5/J5-1</f>
        <v>1.847457627118644</v>
      </c>
      <c r="L5" s="8">
        <f t="shared" si="2"/>
        <v>604.80000000000007</v>
      </c>
      <c r="M5" s="9">
        <f t="shared" ref="M5:M11" si="6">L5/G5</f>
        <v>1.8000000000000003</v>
      </c>
      <c r="N5" s="9">
        <v>291</v>
      </c>
      <c r="O5" s="10">
        <f t="shared" ref="O5:O11" si="7">L5/N5-1</f>
        <v>1.0783505154639177</v>
      </c>
      <c r="P5" s="9">
        <f>G5*4500</f>
        <v>1512000</v>
      </c>
      <c r="Q5" s="4">
        <v>1700000</v>
      </c>
      <c r="R5" s="6" t="e">
        <f t="shared" ref="R5:R11" si="8">P5/D5-1</f>
        <v>#DIV/0!</v>
      </c>
      <c r="S5" s="18">
        <v>1316000</v>
      </c>
      <c r="T5" s="20">
        <v>928720</v>
      </c>
      <c r="U5" s="16">
        <f t="shared" ref="U5:U12" si="9">S5/T5</f>
        <v>1.417004048582996</v>
      </c>
      <c r="V5" s="4" t="s">
        <v>30</v>
      </c>
    </row>
    <row r="6" spans="1:22" ht="15" thickBot="1" x14ac:dyDescent="0.35">
      <c r="A6" s="23" t="s">
        <v>12</v>
      </c>
      <c r="B6" s="5">
        <v>317</v>
      </c>
      <c r="C6" s="12">
        <v>450</v>
      </c>
      <c r="D6" s="12">
        <v>1230500</v>
      </c>
      <c r="E6" s="13">
        <f t="shared" si="3"/>
        <v>4643.3962264150941</v>
      </c>
      <c r="F6" s="10">
        <f t="shared" si="4"/>
        <v>0.41955835962145116</v>
      </c>
      <c r="G6" s="7">
        <f t="shared" si="0"/>
        <v>360</v>
      </c>
      <c r="H6" s="7">
        <f t="shared" ref="H6:H11" si="10">G6*E6</f>
        <v>1671622.641509434</v>
      </c>
      <c r="I6" s="6">
        <f t="shared" si="1"/>
        <v>0.8</v>
      </c>
      <c r="J6" s="4">
        <v>265</v>
      </c>
      <c r="K6" s="6">
        <f t="shared" si="5"/>
        <v>0.35849056603773577</v>
      </c>
      <c r="L6" s="8">
        <f>G6*1.7</f>
        <v>612</v>
      </c>
      <c r="M6" s="9">
        <v>1.6</v>
      </c>
      <c r="N6" s="9">
        <v>419</v>
      </c>
      <c r="O6" s="10">
        <f t="shared" si="7"/>
        <v>0.46062052505966578</v>
      </c>
      <c r="P6" s="9">
        <f>G6*4500</f>
        <v>1620000</v>
      </c>
      <c r="Q6" s="4">
        <v>2000000</v>
      </c>
      <c r="R6" s="6">
        <f t="shared" si="8"/>
        <v>0.31653799268589999</v>
      </c>
      <c r="S6" s="18">
        <v>1408800</v>
      </c>
      <c r="T6" s="20">
        <v>1407600</v>
      </c>
      <c r="U6" s="16">
        <f t="shared" si="9"/>
        <v>1.0008525149190111</v>
      </c>
      <c r="V6" s="4" t="s">
        <v>31</v>
      </c>
    </row>
    <row r="7" spans="1:22" ht="15" thickBot="1" x14ac:dyDescent="0.35">
      <c r="A7" s="23" t="s">
        <v>13</v>
      </c>
      <c r="B7" s="5">
        <v>113</v>
      </c>
      <c r="C7" s="12">
        <v>145</v>
      </c>
      <c r="D7" s="12">
        <v>369070</v>
      </c>
      <c r="E7" s="13">
        <f t="shared" si="3"/>
        <v>4446.6265060240967</v>
      </c>
      <c r="F7" s="10">
        <f t="shared" si="4"/>
        <v>0.2831858407079646</v>
      </c>
      <c r="G7" s="7">
        <f t="shared" si="0"/>
        <v>116</v>
      </c>
      <c r="H7" s="7">
        <f t="shared" si="10"/>
        <v>515808.67469879519</v>
      </c>
      <c r="I7" s="6">
        <f t="shared" si="1"/>
        <v>0.8</v>
      </c>
      <c r="J7" s="4">
        <v>83</v>
      </c>
      <c r="K7" s="6">
        <f t="shared" si="5"/>
        <v>0.39759036144578319</v>
      </c>
      <c r="L7" s="8">
        <f>G7*1.8</f>
        <v>208.8</v>
      </c>
      <c r="M7" s="9">
        <f t="shared" si="6"/>
        <v>1.8</v>
      </c>
      <c r="N7" s="9">
        <v>128</v>
      </c>
      <c r="O7" s="10">
        <f t="shared" si="7"/>
        <v>0.63125000000000009</v>
      </c>
      <c r="P7" s="9">
        <f>G7*4500</f>
        <v>522000</v>
      </c>
      <c r="Q7" s="4">
        <v>700000</v>
      </c>
      <c r="R7" s="6">
        <f t="shared" si="8"/>
        <v>0.41436583845882891</v>
      </c>
      <c r="S7" s="18">
        <v>462400</v>
      </c>
      <c r="T7" s="20">
        <v>496800</v>
      </c>
      <c r="U7" s="16">
        <f t="shared" si="9"/>
        <v>0.93075684380032209</v>
      </c>
      <c r="V7" s="4" t="s">
        <v>32</v>
      </c>
    </row>
    <row r="8" spans="1:22" ht="15" thickBot="1" x14ac:dyDescent="0.35">
      <c r="A8" s="23" t="s">
        <v>14</v>
      </c>
      <c r="B8" s="5">
        <v>123</v>
      </c>
      <c r="C8" s="12">
        <v>150</v>
      </c>
      <c r="D8" s="12">
        <v>393300</v>
      </c>
      <c r="E8" s="13">
        <f t="shared" si="3"/>
        <v>3420</v>
      </c>
      <c r="F8" s="10">
        <f t="shared" si="4"/>
        <v>0.21951219512195119</v>
      </c>
      <c r="G8" s="7">
        <f t="shared" si="0"/>
        <v>120</v>
      </c>
      <c r="H8" s="7">
        <f t="shared" si="10"/>
        <v>410400</v>
      </c>
      <c r="I8" s="6">
        <f t="shared" si="1"/>
        <v>0.8</v>
      </c>
      <c r="J8" s="4">
        <v>115</v>
      </c>
      <c r="K8" s="6">
        <f t="shared" si="5"/>
        <v>4.3478260869565188E-2</v>
      </c>
      <c r="L8" s="8">
        <f t="shared" si="2"/>
        <v>216</v>
      </c>
      <c r="M8" s="9">
        <f t="shared" si="6"/>
        <v>1.8</v>
      </c>
      <c r="N8" s="9">
        <v>209</v>
      </c>
      <c r="O8" s="10">
        <f t="shared" si="7"/>
        <v>3.3492822966507241E-2</v>
      </c>
      <c r="P8" s="9">
        <f>G8*4000</f>
        <v>480000</v>
      </c>
      <c r="Q8" s="4">
        <v>600000</v>
      </c>
      <c r="R8" s="6">
        <f t="shared" si="8"/>
        <v>0.22044241037376056</v>
      </c>
      <c r="S8" s="18">
        <v>254900</v>
      </c>
      <c r="T8" s="20">
        <v>597600</v>
      </c>
      <c r="U8" s="16">
        <f t="shared" si="9"/>
        <v>0.42653949129852742</v>
      </c>
      <c r="V8" s="4" t="s">
        <v>33</v>
      </c>
    </row>
    <row r="9" spans="1:22" ht="15" thickBot="1" x14ac:dyDescent="0.35">
      <c r="A9" s="23" t="s">
        <v>15</v>
      </c>
      <c r="B9" s="5">
        <v>153</v>
      </c>
      <c r="C9" s="12">
        <v>185</v>
      </c>
      <c r="D9" s="12">
        <v>521050</v>
      </c>
      <c r="E9" s="13">
        <f t="shared" si="3"/>
        <v>3520.6081081081079</v>
      </c>
      <c r="F9" s="10">
        <f t="shared" si="4"/>
        <v>0.20915032679738554</v>
      </c>
      <c r="G9" s="7">
        <f>C9*80/100</f>
        <v>148</v>
      </c>
      <c r="H9" s="7">
        <f t="shared" si="10"/>
        <v>521049.99999999994</v>
      </c>
      <c r="I9" s="6">
        <v>0.8</v>
      </c>
      <c r="J9" s="4">
        <v>148</v>
      </c>
      <c r="K9" s="6">
        <f t="shared" si="5"/>
        <v>0</v>
      </c>
      <c r="L9" s="8">
        <f t="shared" si="2"/>
        <v>266.40000000000003</v>
      </c>
      <c r="M9" s="9">
        <v>1.5</v>
      </c>
      <c r="N9" s="9">
        <v>205</v>
      </c>
      <c r="O9" s="10">
        <f t="shared" si="7"/>
        <v>0.29951219512195149</v>
      </c>
      <c r="P9" s="9">
        <f>G9*3800</f>
        <v>562400</v>
      </c>
      <c r="Q9" s="4">
        <v>700000</v>
      </c>
      <c r="R9" s="6">
        <f t="shared" si="8"/>
        <v>7.9358986661548725E-2</v>
      </c>
      <c r="S9" s="18">
        <v>331200</v>
      </c>
      <c r="T9" s="20">
        <v>662720</v>
      </c>
      <c r="U9" s="16">
        <f t="shared" si="9"/>
        <v>0.49975857073877356</v>
      </c>
      <c r="V9" s="4" t="s">
        <v>34</v>
      </c>
    </row>
    <row r="10" spans="1:22" ht="15" thickBot="1" x14ac:dyDescent="0.35">
      <c r="A10" s="4" t="s">
        <v>16</v>
      </c>
      <c r="B10" s="5">
        <v>24</v>
      </c>
      <c r="C10" s="12">
        <v>310</v>
      </c>
      <c r="D10" s="12">
        <v>84750</v>
      </c>
      <c r="E10" s="13">
        <f t="shared" si="3"/>
        <v>3684.782608695652</v>
      </c>
      <c r="F10" s="10">
        <f t="shared" si="4"/>
        <v>11.916666666666666</v>
      </c>
      <c r="G10" s="7">
        <f t="shared" si="0"/>
        <v>248</v>
      </c>
      <c r="H10" s="7">
        <f t="shared" si="10"/>
        <v>913826.08695652173</v>
      </c>
      <c r="I10" s="6">
        <f t="shared" si="1"/>
        <v>0.8</v>
      </c>
      <c r="J10" s="4">
        <v>23</v>
      </c>
      <c r="K10" s="6">
        <f t="shared" si="5"/>
        <v>9.7826086956521738</v>
      </c>
      <c r="L10" s="8">
        <f t="shared" si="2"/>
        <v>446.40000000000003</v>
      </c>
      <c r="M10" s="9">
        <f t="shared" si="6"/>
        <v>1.8</v>
      </c>
      <c r="N10" s="9">
        <v>41</v>
      </c>
      <c r="O10" s="10">
        <f t="shared" si="7"/>
        <v>9.8878048780487813</v>
      </c>
      <c r="P10" s="9">
        <f>G10*4500</f>
        <v>1116000</v>
      </c>
      <c r="Q10" s="4">
        <v>1500000</v>
      </c>
      <c r="R10" s="6">
        <f t="shared" si="8"/>
        <v>12.168141592920353</v>
      </c>
      <c r="S10" s="18">
        <v>836860</v>
      </c>
      <c r="T10" s="20">
        <v>810000</v>
      </c>
      <c r="U10" s="16">
        <f t="shared" si="9"/>
        <v>1.0331604938271606</v>
      </c>
      <c r="V10" s="4" t="s">
        <v>35</v>
      </c>
    </row>
    <row r="11" spans="1:22" ht="15" thickBot="1" x14ac:dyDescent="0.35">
      <c r="A11" s="4" t="s">
        <v>19</v>
      </c>
      <c r="B11" s="4"/>
      <c r="C11" s="12">
        <v>225</v>
      </c>
      <c r="D11" s="12"/>
      <c r="E11" s="13" t="e">
        <f t="shared" si="3"/>
        <v>#DIV/0!</v>
      </c>
      <c r="F11" s="10" t="e">
        <f t="shared" si="4"/>
        <v>#DIV/0!</v>
      </c>
      <c r="G11" s="7">
        <f t="shared" si="0"/>
        <v>180</v>
      </c>
      <c r="H11" s="7" t="e">
        <f t="shared" si="10"/>
        <v>#DIV/0!</v>
      </c>
      <c r="I11" s="11">
        <f t="shared" si="1"/>
        <v>0.8</v>
      </c>
      <c r="J11" s="4"/>
      <c r="K11" s="11" t="e">
        <f t="shared" si="5"/>
        <v>#DIV/0!</v>
      </c>
      <c r="L11" s="8">
        <f t="shared" si="2"/>
        <v>324</v>
      </c>
      <c r="M11" s="9">
        <f t="shared" si="6"/>
        <v>1.8</v>
      </c>
      <c r="N11" s="4"/>
      <c r="O11" s="10" t="e">
        <f t="shared" si="7"/>
        <v>#DIV/0!</v>
      </c>
      <c r="P11" s="9">
        <f>G11*4500</f>
        <v>810000</v>
      </c>
      <c r="Q11" s="4">
        <v>1500000</v>
      </c>
      <c r="R11" s="6" t="e">
        <f t="shared" si="8"/>
        <v>#DIV/0!</v>
      </c>
      <c r="S11" s="18">
        <v>178960</v>
      </c>
      <c r="T11" s="21"/>
      <c r="U11" s="16" t="e">
        <f t="shared" si="9"/>
        <v>#DIV/0!</v>
      </c>
      <c r="V11" s="4" t="s">
        <v>36</v>
      </c>
    </row>
    <row r="12" spans="1:22" ht="15" thickBot="1" x14ac:dyDescent="0.3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>
        <f>SUM(P4:P11)</f>
        <v>7432000</v>
      </c>
      <c r="Q12" s="17">
        <f>SUM(Q4:Q11)</f>
        <v>10000000</v>
      </c>
      <c r="R12" s="4"/>
      <c r="S12" s="19">
        <v>5524497</v>
      </c>
      <c r="T12" s="22">
        <v>5632080</v>
      </c>
      <c r="U12" s="16">
        <f t="shared" si="9"/>
        <v>0.98089817616227037</v>
      </c>
      <c r="V12" s="4"/>
    </row>
    <row r="13" spans="1:22" ht="15" thickBot="1" x14ac:dyDescent="0.35">
      <c r="S13" s="19">
        <v>5524497</v>
      </c>
      <c r="T13" s="22">
        <v>5632080</v>
      </c>
      <c r="U13" s="16">
        <f t="shared" ref="U13" si="11">S13/T13</f>
        <v>0.98089817616227037</v>
      </c>
      <c r="V13" s="4"/>
    </row>
    <row r="15" spans="1:22" ht="18" x14ac:dyDescent="0.35">
      <c r="A15" s="27" t="s">
        <v>24</v>
      </c>
      <c r="B15" s="28"/>
    </row>
    <row r="16" spans="1:22" x14ac:dyDescent="0.3">
      <c r="A16" s="4" t="s">
        <v>10</v>
      </c>
      <c r="B16" s="15">
        <f>G4*40%</f>
        <v>70.400000000000006</v>
      </c>
    </row>
    <row r="17" spans="1:12" x14ac:dyDescent="0.3">
      <c r="A17" s="4" t="s">
        <v>11</v>
      </c>
      <c r="B17" s="15">
        <f t="shared" ref="B17:B23" si="12">G5*40%</f>
        <v>134.4</v>
      </c>
    </row>
    <row r="18" spans="1:12" x14ac:dyDescent="0.3">
      <c r="A18" s="4" t="s">
        <v>12</v>
      </c>
      <c r="B18" s="15">
        <f t="shared" si="12"/>
        <v>144</v>
      </c>
    </row>
    <row r="19" spans="1:12" x14ac:dyDescent="0.3">
      <c r="A19" s="4" t="s">
        <v>13</v>
      </c>
      <c r="B19" s="15">
        <f t="shared" si="12"/>
        <v>46.400000000000006</v>
      </c>
      <c r="L19">
        <f>5000-19-2000-25-371-100-80-202-150-450-90-300-1000</f>
        <v>213</v>
      </c>
    </row>
    <row r="20" spans="1:12" x14ac:dyDescent="0.3">
      <c r="A20" s="4" t="s">
        <v>14</v>
      </c>
      <c r="B20" s="15">
        <f t="shared" si="12"/>
        <v>48</v>
      </c>
    </row>
    <row r="21" spans="1:12" x14ac:dyDescent="0.3">
      <c r="A21" s="4" t="s">
        <v>15</v>
      </c>
      <c r="B21" s="15">
        <f t="shared" si="12"/>
        <v>59.2</v>
      </c>
    </row>
    <row r="22" spans="1:12" x14ac:dyDescent="0.3">
      <c r="A22" s="4" t="s">
        <v>16</v>
      </c>
      <c r="B22" s="15">
        <f t="shared" si="12"/>
        <v>99.2</v>
      </c>
    </row>
    <row r="23" spans="1:12" x14ac:dyDescent="0.3">
      <c r="A23" s="4" t="s">
        <v>19</v>
      </c>
      <c r="B23" s="15">
        <f t="shared" si="12"/>
        <v>72</v>
      </c>
    </row>
    <row r="24" spans="1:12" x14ac:dyDescent="0.3">
      <c r="B24" s="14"/>
    </row>
  </sheetData>
  <mergeCells count="6">
    <mergeCell ref="S1:U1"/>
    <mergeCell ref="A2:P2"/>
    <mergeCell ref="A15:B15"/>
    <mergeCell ref="S2:S3"/>
    <mergeCell ref="T2:T3"/>
    <mergeCell ref="U2:U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javad p</dc:creator>
  <cp:lastModifiedBy>muhammed javad p</cp:lastModifiedBy>
  <dcterms:created xsi:type="dcterms:W3CDTF">2025-10-24T06:41:29Z</dcterms:created>
  <dcterms:modified xsi:type="dcterms:W3CDTF">2025-11-27T06:47:39Z</dcterms:modified>
</cp:coreProperties>
</file>